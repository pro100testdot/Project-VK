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Workbook________" defaultThemeVersion="153222"/>
  <mc:AlternateContent xmlns:mc="http://schemas.openxmlformats.org/markup-compatibility/2006">
    <mc:Choice Requires="x15">
      <x15ac:absPath xmlns:x15ac="http://schemas.microsoft.com/office/spreadsheetml/2010/11/ac" url="C:\Users\User\Desktop\тест\Задания\тест кейсы\"/>
    </mc:Choice>
  </mc:AlternateContent>
  <bookViews>
    <workbookView xWindow="0" yWindow="0" windowWidth="24000" windowHeight="14100" tabRatio="682" firstSheet="1" activeTab="1"/>
  </bookViews>
  <sheets>
    <sheet name="Sheet1" sheetId="6" state="hidden" r:id="rId1"/>
    <sheet name="Template" sheetId="23" r:id="rId2"/>
  </sheets>
  <definedNames>
    <definedName name="Result">Sheet1!$B$2:$B$4</definedName>
  </definedNames>
  <calcPr calcId="162913" concurrentCalc="0"/>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T2" i="23" l="1"/>
  <c r="T1" i="23"/>
  <c r="R2" i="23"/>
  <c r="R1" i="23"/>
  <c r="E45" i="23"/>
  <c r="E44" i="23"/>
  <c r="L1" i="23"/>
  <c r="L2" i="23"/>
  <c r="E43" i="23"/>
  <c r="P2" i="23"/>
  <c r="N2" i="23"/>
  <c r="P1" i="23"/>
  <c r="N1" i="23"/>
</calcChain>
</file>

<file path=xl/sharedStrings.xml><?xml version="1.0" encoding="utf-8"?>
<sst xmlns="http://schemas.openxmlformats.org/spreadsheetml/2006/main" count="166" uniqueCount="116">
  <si>
    <t>passed</t>
  </si>
  <si>
    <t>failed</t>
  </si>
  <si>
    <t>№</t>
  </si>
  <si>
    <t>Total Automation Test</t>
  </si>
  <si>
    <t>Firefox</t>
  </si>
  <si>
    <t>Post-release tests</t>
  </si>
  <si>
    <t>IE 11</t>
  </si>
  <si>
    <t>Дата</t>
  </si>
  <si>
    <t>Билд</t>
  </si>
  <si>
    <t>Браузер</t>
  </si>
  <si>
    <t>Общее количество тестов</t>
  </si>
  <si>
    <t xml:space="preserve">Приоритет </t>
  </si>
  <si>
    <t>Автоматизирвоано</t>
  </si>
  <si>
    <t>Общее Failed</t>
  </si>
  <si>
    <t>Общее Passed</t>
  </si>
  <si>
    <t>Название теста</t>
  </si>
  <si>
    <t>Шаги</t>
  </si>
  <si>
    <t>Ожидаемый результат</t>
  </si>
  <si>
    <t>задача</t>
  </si>
  <si>
    <t>Функциональная группа</t>
  </si>
  <si>
    <t>Подход</t>
  </si>
  <si>
    <t xml:space="preserve">Результат
</t>
  </si>
  <si>
    <t>Форма авторизации</t>
  </si>
  <si>
    <t>Позиивный вход на сайт с помощью E-mail</t>
  </si>
  <si>
    <t>Тест выхода с сайта</t>
  </si>
  <si>
    <t>Позитивный вход с помощью номера телефона</t>
  </si>
  <si>
    <t>Вход с телефоном из БД и не корректным паролем</t>
  </si>
  <si>
    <t>Осуществлен переход на главную страницу пользователя</t>
  </si>
  <si>
    <t>Перейти на сайт vk.com;
Ввести E-mail : pro100test@mail.ru;
Ввести пароль: 123456;
Нажать кнопку "Войти";</t>
  </si>
  <si>
    <t>Осуществлен переход на стартовую страницу</t>
  </si>
  <si>
    <t>Перейти на сайт vk.com;
Ввести номер телефона : 89679784925;
Ввести пароль: 123456;
Нажать кнопку "Войти";</t>
  </si>
  <si>
    <t>Позитивный вход с помощью номера телефона используя формат телефона +7</t>
  </si>
  <si>
    <t>Перейти на сайт vk.com;
Ввести номер телефона : +79679784925;
Ввести пароль: 123456;
Нажать кнопку "Войти";</t>
  </si>
  <si>
    <t>Вход с пустыми полями</t>
  </si>
  <si>
    <t>Вход не осуществлен,  поле "телефон или email"  посветилось красным светом.</t>
  </si>
  <si>
    <t>Вход с email из БД и не корректным паролем</t>
  </si>
  <si>
    <t>Осуществлен переход на страчичку с предупреждением "Не удаётся войти".
Далее следует просьба "Пожалуйста, проверьте правильность написания логина и
 пароля."</t>
  </si>
  <si>
    <t>Перейти на сайт vk.com;
В поле "телефон или emai" ввести номер телефона из БД;
В поле "пароль" ввести не существующий пароль;
Нажать кнопку "Войти";</t>
  </si>
  <si>
    <t>Перейти на сайт vk.com;
В поле"телефон или email" и "пароль" оставить пустыми;
Нажать кнопку "Войти";</t>
  </si>
  <si>
    <t>Вход с корректным паролем и телефоном отсутствующем в БД</t>
  </si>
  <si>
    <t>Вход с корректным паролем и email отсутствующем в БД</t>
  </si>
  <si>
    <t>Перейти на сайт vk.com;
В поле "телефон или emai" ввести email из БД;
В поле "пароль" ввести не существующий пароль;
Нажать кнопку "Войти";</t>
  </si>
  <si>
    <t>Перейти на сайт vk.com;
В поле "телефон или emai" ввести email отсутствующем в БД;
В поле "пароль" ввести  существующий пароль;
Нажать кнопку "Войти";</t>
  </si>
  <si>
    <t>Перейти на сайт vk.com;
В поле "телефон или emai" ввести телефон отсутствующий в БД;
В поле "пароль" ввести  существующий пароль;
Нажать кнопку "Войти";</t>
  </si>
  <si>
    <t>Востановление пароля с помощью номера телефона через 8</t>
  </si>
  <si>
    <t>Востановление пароля с помощью номера телефона через +7</t>
  </si>
  <si>
    <t>Перейти на сайт vk.com;
Нажать кнопку "забыли пароль";
В окне с форматом номера телефона  ввести +79679784925 ; 
Ввести капчу;
Ввести  фамилию, указанную на  странице ,к которой востанавливаем доступ;
Выбираем страницу к которой необходимо получить доступ; 
Потверждаем что доступ к странице имееться с другого устройства
Ввести код полученный от администранции через номер телефона</t>
  </si>
  <si>
    <t>Войти на сайт любым способом;
Нажать "Имя пользователя" в правом верхнем углу;
В сплывающем меню нажать кнопку "выйти";</t>
  </si>
  <si>
    <t>Востановление пароля с помощью email которого нет в БД</t>
  </si>
  <si>
    <t>Перейти на сайт vk.com;
Нажать кнопку "забыли пароль";
В окне с форматом номера телефона  ввести pro100700@mail.ru ; 
Ввести капчу;</t>
  </si>
  <si>
    <t xml:space="preserve"> </t>
  </si>
  <si>
    <r>
      <t xml:space="preserve">Появляеться предупреждение "Пользователь не найден"
Пожалуйста, убедитесь, что правильно ввели </t>
    </r>
    <r>
      <rPr>
        <sz val="11"/>
        <color theme="1"/>
        <rFont val="Calibri"/>
        <family val="2"/>
        <charset val="204"/>
        <scheme val="minor"/>
      </rPr>
      <t xml:space="preserve"> email или телефон.
Если Вы не помните никаких данных, Вы можете нажать сюда.</t>
    </r>
  </si>
  <si>
    <t>Avast Secure Browser</t>
  </si>
  <si>
    <t>Отправление  сообщения</t>
  </si>
  <si>
    <t>Отправление сообщения через "Диалог" пользователям из списка "друзья"</t>
  </si>
  <si>
    <r>
      <rPr>
        <sz val="11"/>
        <color indexed="8"/>
        <rFont val="Calibri"/>
        <family val="2"/>
        <charset val="204"/>
      </rPr>
      <t>Перейти на сайт vk.com;
Нажать кнопку "забыли пароль";
В окне с форматом номера телефона  ввести 879679784925 ; 
Ввести капчу;
Ввести  фамилию, указанную на  странице ,к которой востанавливаем доступ;
Выбираем страницу к которой необходимо получить доступ; 
Потверждаем что доступ к странице имееться с другого устройства
Ввести код полученный от администранции через номер телефона</t>
    </r>
    <r>
      <rPr>
        <sz val="12"/>
        <color indexed="8"/>
        <rFont val="Calibri"/>
        <family val="2"/>
        <charset val="204"/>
      </rPr>
      <t xml:space="preserve">
</t>
    </r>
  </si>
  <si>
    <t>Появляеться вся переписка с этим пользователем которая велась ранее.Последнее сообщение будет в низу переписки. Указываеться время отправления сообщения.</t>
  </si>
  <si>
    <t>Отправление сообщения через "Новое сообщение"  пользователям не из списка "друзья"</t>
  </si>
  <si>
    <t xml:space="preserve">Отправление сообщение через беседу нескольким пользователям
</t>
  </si>
  <si>
    <t>Отправка сообщение самому себе</t>
  </si>
  <si>
    <t>Перейти на сайт vk.com;
Ввести E-mail : pro100test@mail.ru;
Ввести пароль: 123456;
Нажать кнопку "Войти";
Нажать вкладку "Сообщения";
В поле "Поиск"набрать ИФ на которые отображаються на главной странице;
В появимщимся списке нажать на своем аватаре;
В поле "напишите сообщение" набрать текс и нажать ENTER;</t>
  </si>
  <si>
    <t>Появляеться чат с самим собой .Последнее сообщение будет в низу переписки. Указываеться время отправления сообщения.Сообщение помечаеться как   новое.</t>
  </si>
  <si>
    <t>Отправление сообщения с документом который ранее не отправлялся</t>
  </si>
  <si>
    <t>В левом нижнем углу появиться окно оповещение"Ваще сообщение отравлено"</t>
  </si>
  <si>
    <t>Отправление сообщения с документом который ранее отправлялся</t>
  </si>
  <si>
    <t>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выбрать кнопку "еще ";
Из всплывающего списка Нажать "Документ";
В появивщимся окне "Приклепление документа" выбрать ранее отправляемый документ ;
В поле "напишите сообщение" набрать текс и нажать ENTER;</t>
  </si>
  <si>
    <t>VKbg-01</t>
  </si>
  <si>
    <t xml:space="preserve">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нажать кнопку "Фотография";
В окне "пригрепление фотографии" выбрать кнопку"+Загрузить фотографию";
Выбрать фотографию и нажать кнопку "выбрать";
Нажать кнопку "Отправить"
</t>
  </si>
  <si>
    <t xml:space="preserve">В левом нижнем углу появиться окно оповещение"Ваще сообщение отравлено Наталье Фроловой". </t>
  </si>
  <si>
    <t xml:space="preserve">Появляеться чат с пользователями которые были добавлены.Последнее сообщение будет в низу переписки. Указываеться время отправления сообщения. </t>
  </si>
  <si>
    <t xml:space="preserve">В левом нижнем углу появиться окно оповещение"Ваще сообщение отравлено"
</t>
  </si>
  <si>
    <t>Отправление сообщения с изображением которого нет в альбоме</t>
  </si>
  <si>
    <t>Отправление  сообщения с изображением которое находиться в альбоме</t>
  </si>
  <si>
    <t xml:space="preserve">Отправление сообщения с моментальной фотографией, </t>
  </si>
  <si>
    <t>Отправление "Видеозапись"личным сообщением  из списка "Видео"</t>
  </si>
  <si>
    <t>Отправление "Видеозапись"личным сообщением  не состоящем в списке "Видео"</t>
  </si>
  <si>
    <t xml:space="preserve">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нажать "перейти к диалогу";
В поле "напишите сообщение" набрать текс и нажать ENTER;
</t>
  </si>
  <si>
    <t>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выбрать кнопку "еще ";
Из всплывающего списка Нажать "Документ";
В появивщимся окне "Приклепление документа" нажать кнопку "Загрузить новый файл";
Выбрать документ и нажать кнопку "выбрать";
В поле "напишите сообщение" набрать текс и нажать ENTER;</t>
  </si>
  <si>
    <t xml:space="preserve">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нажать кнопку "Фотография";
В окне "пригрепление фотографии" выбрать нужную фотографию и нажать кнопку "Отправить";
</t>
  </si>
  <si>
    <t xml:space="preserve">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нажать кнопку "Фотография";
В окне "прикрепление фотографии" выбрать кнопку"сделать снимок";
Делаем фотографию с помощью вебкамеры;
Выбираем фотографию и нажать кнопку "выбрать";
Нажать кнопку "Отправить"
</t>
  </si>
  <si>
    <t>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нажать кнопку "Видеозапись";
В окне "пригрепление видеозаписи" выбрать нужную видеозапись и нажать кнопку "Отправить";</t>
  </si>
  <si>
    <t>Перейти на сайт vk.com;
Ввести E-mail : pro100test@mail.ru;
Ввести пароль: 123456;
Нажать кнопку "Войти";
Нажать вкладку "Друзья";
Из появившиеся списка выбрать интересующий контакт и нажать "отправить сообщение";
В появившимся окне "Новое сообщение" нажать кнопку "Видеозапись";
В окне "пригрепление видеозаписи" нажать кнопку "+загрузить видео";
Выбрать нужную видеозапись и нажать кнопку "Отправить";</t>
  </si>
  <si>
    <t>Поиск</t>
  </si>
  <si>
    <t xml:space="preserve"> Поиск друзей с пустым полем</t>
  </si>
  <si>
    <t>Появиться список людей с общими друзьями(добавленными пользователями)</t>
  </si>
  <si>
    <t>Проверка  поля "Поиск друзей", данные-вставка из регистра</t>
  </si>
  <si>
    <t xml:space="preserve">Перейти на сайт vk.com;
Ввести E-mail : pro100test@mail.ru;
Ввести пароль: 123456;
Нажать кнопку "Войти";
Нажать вкладку "Друзья";
В поле "Поиск друзей" введем "Vania"
</t>
  </si>
  <si>
    <t>Проверка  поля "Поиск друзей", распознавание транслита</t>
  </si>
  <si>
    <t>Появиться список людей c именем Ваня и Vania</t>
  </si>
  <si>
    <t xml:space="preserve"> Поиск пользователей из списка "Друзья" с параметром "Город"</t>
  </si>
  <si>
    <t xml:space="preserve"> Поиск пользователей из списка "Друзья" с параметром "Возраст"</t>
  </si>
  <si>
    <t xml:space="preserve"> Поиск пользователей из списка "Друзья" с параметром "Пол"</t>
  </si>
  <si>
    <t xml:space="preserve">Перейти на сайт vk.com;
Ввести E-mail : pro100test@mail.ru;
Ввести пароль: 123456;
Нажать кнопку "Войти";
Нажать вкладку "Друзья";
Нажимаем кнопку "Параментры";
Нажимаем на поле "Выбор города" и выбираем 
Санкт-Петербург
</t>
  </si>
  <si>
    <t xml:space="preserve">Перейти на сайт vk.com;
Ввести E-mail : pro100test@mail.ru;
Ввести пароль: 123456;
Нажать кнопку "Войти";
Нажать вкладку "Друзья";
Нажимаем кнопку "Параментры";
Нажимаем на поле "Возвраст" и выбираем в поле "От" 14,в поле "До" 22;
</t>
  </si>
  <si>
    <t>В списке остануться только пользователи из списка друзья, которые указали место проживания город Санкт-Петербург</t>
  </si>
  <si>
    <t>В списке остануться только пользователи из списка друзья, которые указали возвраст в интервале от 14 до 22.</t>
  </si>
  <si>
    <t>В списке остануться только пользователи из списка друзья, которые указали пол женский.</t>
  </si>
  <si>
    <t xml:space="preserve">Перейти на сайт vk.com;
Ввести E-mail : pro100test@mail.ru;
Ввести пароль: 123456;
Нажать кнопку "Войти";
Нажать вкладку "Друзья";
Нажимаем кнопку "Параментры";
Выбираем пол "Женский";
</t>
  </si>
  <si>
    <t>Поиск не производиться. Остаемся на станице "Видео каталог"</t>
  </si>
  <si>
    <t>Проверка  поля "Поиск видео" Данные-вставка из регистра</t>
  </si>
  <si>
    <t xml:space="preserve">Перейти на сайт vk.com;
Ввести E-mail : pro100test@mail.ru;
Ввести пароль: 123456;
Нажать кнопку "Войти";
Нажать вкладку "Друзья;
В поле "Поиск друзей" Написать Наталья Фролова;
Из списка "Другие пользователи" выбрать и нажать на аватар контакта "Наталья Фролова";
На главной странице пользователя найти и нажать кнопку "отправить сообщение";
В появившимся окне "Новое сообщение" набрать текс и нажать "Отправить";
</t>
  </si>
  <si>
    <t xml:space="preserve">Перейти на сайт vk.com;
Ввести E-mail : pro100test@mail.ru;
Ввести пароль: 123456;
Нажать кнопку "Войти";
Нажать кнопку сообщение;
Нажать кнопку "+"(начать беседу); 
Из появившиеся списка выбрать несколько интересующих пользователей и нажать кнопку перейти к диалогу;
В поле "Напишите сообщение" введите тест и нажмите ENTER;
</t>
  </si>
  <si>
    <t xml:space="preserve">Перейти на сайт vk.com;
Ввести E-mail : pro100test@mail.ru;
Ввести пароль: 123456;
Нажать кнопку "Войти";
Нажать вкладку "Друзья";
Нажать кнопку "Найти друзей";
Нажать кнопку "параметры поиска";
</t>
  </si>
  <si>
    <t xml:space="preserve">Перейти на сайт vk.com;
Ввести E-mail : pro100test@mail.ru;
Ввести пароль: 123456;
Нажать кнопку "Войти";
Нажать вкладку "Друзья";
В поле "Поиск друзей" введем вставку из рееста !@длщ bbc;          
</t>
  </si>
  <si>
    <t xml:space="preserve">Перейти на сайт vk.com;
Ввести E-mail : pro100test@mail.ru;
Ввести пароль: 123456;
Нажать кнопку "Войти";
Нажать вкладку "Видео";
В поле "Поиск видео" введем вставку из рееста !@длщ bbc;       </t>
  </si>
  <si>
    <t>Все введенные символы отображаеються корректно</t>
  </si>
  <si>
    <t xml:space="preserve"> Поиск видео с пустым полем "Поиск видео"</t>
  </si>
  <si>
    <t xml:space="preserve"> Поиск музыки с пустым полем" Поиск аудио"</t>
  </si>
  <si>
    <t>Перейти на сайт vk.com;
Ввести E-mail : pro100test@mail.ru;
Ввести пароль: 123456;
Нажать кнопку "Войти";
Нажимаем вкладку "Видео";
На вкладке "Видео каталог" ставим курсор на поле  "Поиск видео" и нажимаем ENTER;</t>
  </si>
  <si>
    <t>Перейти на сайт vk.com;
Ввести E-mail : pro100test@mail.ru;
Ввести пароль: 123456;
Нажать кнопку "Войти";
Нажимаем вкладку "Музыка";
На вкладке "моя музыка" ставим курсор на поле  "Поиск аудио" и нажимаем ENTER;</t>
  </si>
  <si>
    <t>Поиск не производиться. Остаемся на станице "Моя музыка"</t>
  </si>
  <si>
    <t>Проверка  поля "Поиск аудио" Данные-вставка из регистра</t>
  </si>
  <si>
    <t xml:space="preserve">Перейти на сайт vk.com;
Ввести E-mail : pro100test@mail.ru;
Ввести пароль: 123456;
Нажать кнопку "Войти";
Нажать вкладку "Музыка";
В поле "Поиск аудио" введем вставку из рееста !@длщ bbc;       </t>
  </si>
  <si>
    <t xml:space="preserve">Поиск аудио по исполнителю </t>
  </si>
  <si>
    <t>Перейти на сайт vk.com;
Ввести E-mail : pro100test@mail.ru;
Ввести пароль: 123456;
Нажать кнопку "Войти";
Нажать вкладку "Музыка";
В поле "Поиск аудио" введем "Песьня"</t>
  </si>
  <si>
    <t>Страничка поиска обновиться и выдаст результаты поиска с тегом песьня.( песьня может быть и названии группы и в названии песни,так же будут показаны резуьтаты с транслитом)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</si>
</sst>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Calibri"/>
      <family val="2"/>
      <charset val="204"/>
      <scheme val="minor"/>
    </font>
    <font>
      <b/>
      <sz val="11"/>
      <name val="Arial"/>
      <family val="2"/>
      <charset val="204"/>
    </font>
    <font>
      <b/>
      <sz val="10"/>
      <name val="Arial"/>
      <family val="2"/>
      <charset val="204"/>
    </font>
    <font>
      <b/>
      <sz val="11"/>
      <name val="Verdana"/>
      <family val="2"/>
      <charset val="204"/>
    </font>
    <font>
      <u/>
      <sz val="11"/>
      <color indexed="30"/>
      <name val="Calibri"/>
      <family val="2"/>
      <charset val="204"/>
    </font>
    <font>
      <b/>
      <sz val="11"/>
      <color indexed="17"/>
      <name val="Calibri"/>
      <family val="2"/>
      <charset val="204"/>
    </font>
    <font>
      <b/>
      <sz val="12"/>
      <color indexed="8"/>
      <name val="Calibri"/>
      <family val="2"/>
      <charset val="204"/>
    </font>
    <font>
      <sz val="12"/>
      <color indexed="8"/>
      <name val="Calibri"/>
      <family val="2"/>
      <charset val="204"/>
    </font>
    <font>
      <b/>
      <sz val="12"/>
      <color indexed="17"/>
      <name val="Calibri"/>
      <family val="2"/>
      <charset val="204"/>
    </font>
    <font>
      <b/>
      <sz val="11"/>
      <color indexed="10"/>
      <name val="Calibri"/>
      <family val="2"/>
      <charset val="204"/>
    </font>
    <font>
      <u/>
      <sz val="11"/>
      <color theme="10"/>
      <name val="Calibri"/>
      <family val="2"/>
      <charset val="204"/>
      <scheme val="minor"/>
    </font>
    <font>
      <sz val="11"/>
      <color rgb="FFFF0000"/>
      <name val="Calibri"/>
      <family val="2"/>
      <charset val="204"/>
      <scheme val="minor"/>
    </font>
    <font>
      <b/>
      <sz val="11"/>
      <name val="Calibri"/>
      <family val="2"/>
      <charset val="204"/>
      <scheme val="minor"/>
    </font>
    <font>
      <b/>
      <sz val="11"/>
      <color rgb="FF00B050"/>
      <name val="Calibri"/>
      <family val="2"/>
      <charset val="204"/>
      <scheme val="minor"/>
    </font>
    <font>
      <b/>
      <sz val="11"/>
      <color theme="1"/>
      <name val="Verdana"/>
      <family val="2"/>
      <charset val="204"/>
    </font>
    <font>
      <sz val="11"/>
      <color rgb="FF00B050"/>
      <name val="Calibri"/>
      <family val="2"/>
      <charset val="204"/>
      <scheme val="minor"/>
    </font>
    <font>
      <sz val="11"/>
      <name val="Calibri"/>
      <family val="2"/>
      <charset val="204"/>
      <scheme val="minor"/>
    </font>
    <font>
      <b/>
      <sz val="11"/>
      <color theme="0"/>
      <name val="Verdana"/>
      <family val="2"/>
      <charset val="204"/>
    </font>
    <font>
      <b/>
      <sz val="10"/>
      <color theme="0"/>
      <name val="Verdana"/>
      <family val="2"/>
      <charset val="204"/>
    </font>
    <font>
      <b/>
      <sz val="14"/>
      <color theme="1"/>
      <name val="Calibri (Основной текст)"/>
    </font>
    <font>
      <sz val="10"/>
      <color theme="0"/>
      <name val="Verdana"/>
      <family val="2"/>
      <charset val="204"/>
    </font>
    <font>
      <b/>
      <sz val="16"/>
      <color theme="1"/>
      <name val="Calibri"/>
      <family val="2"/>
      <charset val="204"/>
      <scheme val="minor"/>
    </font>
    <font>
      <sz val="12"/>
      <color theme="1"/>
      <name val="Calibri"/>
      <family val="2"/>
      <charset val="204"/>
      <scheme val="minor"/>
    </font>
    <font>
      <sz val="11"/>
      <color indexed="8"/>
      <name val="Calibri"/>
      <family val="2"/>
      <charset val="204"/>
    </font>
  </fonts>
  <fills count="10">
    <fill>
      <patternFill patternType="none"/>
    </fill>
    <fill>
      <patternFill patternType="gray125"/>
    </fill>
    <fill>
      <patternFill patternType="solid">
        <fgColor indexed="9"/>
        <bgColor indexed="26"/>
      </patternFill>
    </fill>
    <fill>
      <patternFill patternType="solid">
        <fgColor indexed="62"/>
        <bgColor indexed="56"/>
      </patternFill>
    </fill>
    <fill>
      <patternFill patternType="solid">
        <fgColor theme="4" tint="0.79998168889431442"/>
        <bgColor indexed="64"/>
      </patternFill>
    </fill>
    <fill>
      <patternFill patternType="solid">
        <fgColor theme="8" tint="-0.499984740745262"/>
        <bgColor indexed="64"/>
      </patternFill>
    </fill>
    <fill>
      <patternFill patternType="solid">
        <fgColor theme="4" tint="0.59999389629810485"/>
        <bgColor indexed="64"/>
      </patternFill>
    </fill>
    <fill>
      <patternFill patternType="solid">
        <fgColor theme="9" tint="-0.499984740745262"/>
        <bgColor indexed="64"/>
      </patternFill>
    </fill>
    <fill>
      <patternFill patternType="solid">
        <fgColor theme="8" tint="-0.249977111117893"/>
        <bgColor indexed="64"/>
      </patternFill>
    </fill>
    <fill>
      <patternFill patternType="solid">
        <fgColor rgb="FFFFC0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style="thin">
        <color auto="1"/>
      </right>
      <top/>
      <bottom style="thin">
        <color auto="1"/>
      </bottom>
      <diagonal/>
    </border>
  </borders>
  <cellStyleXfs count="2">
    <xf numFmtId="0" fontId="0" fillId="0" borderId="0"/>
    <xf numFmtId="0" fontId="10" fillId="0" borderId="0" applyNumberFormat="0" applyFill="0" applyBorder="0" applyAlignment="0" applyProtection="0"/>
  </cellStyleXfs>
  <cellXfs count="59">
    <xf numFmtId="0" fontId="0" fillId="0" borderId="0" xfId="0"/>
    <xf numFmtId="0" fontId="0" fillId="0" borderId="0" xfId="0" applyAlignment="1">
      <alignment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Fill="1" applyBorder="1" applyAlignment="1">
      <alignment horizontal="left" vertical="top" wrapText="1"/>
    </xf>
    <xf numFmtId="0" fontId="12" fillId="0" borderId="0" xfId="0" applyFont="1"/>
    <xf numFmtId="0" fontId="13" fillId="0" borderId="1" xfId="0" applyFont="1" applyBorder="1"/>
    <xf numFmtId="0" fontId="0" fillId="0" borderId="2" xfId="0" applyBorder="1" applyAlignment="1">
      <alignment horizontal="left" vertical="top" wrapText="1"/>
    </xf>
    <xf numFmtId="0" fontId="0" fillId="4" borderId="0" xfId="0" applyFill="1" applyAlignment="1">
      <alignment horizontal="left" vertical="top" wrapText="1"/>
    </xf>
    <xf numFmtId="0" fontId="1" fillId="5" borderId="1" xfId="0" applyFont="1" applyFill="1" applyBorder="1" applyAlignment="1">
      <alignment horizontal="left" vertical="top" textRotation="90" wrapText="1"/>
    </xf>
    <xf numFmtId="0" fontId="0" fillId="5" borderId="1" xfId="0" applyFill="1" applyBorder="1" applyAlignment="1">
      <alignment horizontal="left" vertical="top" wrapText="1"/>
    </xf>
    <xf numFmtId="0" fontId="0" fillId="5" borderId="0" xfId="0" applyFill="1" applyAlignment="1">
      <alignment horizontal="left" vertical="top" wrapText="1"/>
    </xf>
    <xf numFmtId="0" fontId="0" fillId="4" borderId="0" xfId="0" applyFill="1" applyAlignment="1">
      <alignment wrapText="1"/>
    </xf>
    <xf numFmtId="0" fontId="14" fillId="4" borderId="0" xfId="0" applyFont="1" applyFill="1" applyAlignment="1">
      <alignment horizontal="right" vertical="top"/>
    </xf>
    <xf numFmtId="0" fontId="0" fillId="0" borderId="3" xfId="0" applyBorder="1" applyAlignment="1">
      <alignment horizontal="left" vertical="top" wrapText="1"/>
    </xf>
    <xf numFmtId="0" fontId="0" fillId="5" borderId="3" xfId="0" applyFill="1" applyBorder="1" applyAlignment="1">
      <alignment horizontal="left" vertical="top" wrapText="1"/>
    </xf>
    <xf numFmtId="0" fontId="11" fillId="0" borderId="1" xfId="0" applyFont="1" applyBorder="1" applyAlignment="1">
      <alignment horizontal="left" vertical="top" wrapText="1"/>
    </xf>
    <xf numFmtId="0" fontId="15" fillId="0" borderId="1" xfId="0" applyFont="1" applyBorder="1" applyAlignment="1">
      <alignment horizontal="left" vertical="top" wrapText="1"/>
    </xf>
    <xf numFmtId="0" fontId="3" fillId="4" borderId="0" xfId="0" applyFont="1" applyFill="1" applyAlignment="1">
      <alignment horizontal="right" vertical="top"/>
    </xf>
    <xf numFmtId="0" fontId="16" fillId="0" borderId="1" xfId="0" applyFont="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vertical="center"/>
    </xf>
    <xf numFmtId="14" fontId="16" fillId="0" borderId="1" xfId="0" applyNumberFormat="1" applyFont="1" applyBorder="1" applyAlignment="1">
      <alignment horizontal="left" vertical="top" wrapText="1"/>
    </xf>
    <xf numFmtId="0" fontId="17" fillId="5" borderId="0" xfId="0" applyFont="1" applyFill="1" applyBorder="1" applyAlignment="1">
      <alignment horizontal="left" vertical="top" wrapText="1"/>
    </xf>
    <xf numFmtId="0" fontId="18" fillId="5" borderId="1" xfId="0" applyFont="1" applyFill="1" applyBorder="1" applyAlignment="1">
      <alignment horizontal="center" vertical="center" wrapText="1"/>
    </xf>
    <xf numFmtId="0" fontId="17" fillId="5" borderId="0" xfId="0" applyFont="1" applyFill="1" applyBorder="1" applyAlignment="1">
      <alignment wrapText="1"/>
    </xf>
    <xf numFmtId="0" fontId="0" fillId="0" borderId="3" xfId="0" applyBorder="1" applyAlignment="1">
      <alignment horizontal="center" vertical="center" wrapText="1"/>
    </xf>
    <xf numFmtId="0" fontId="0" fillId="0" borderId="0" xfId="0" applyBorder="1" applyAlignment="1">
      <alignment horizontal="left" vertical="top" wrapText="1"/>
    </xf>
    <xf numFmtId="0" fontId="0" fillId="0" borderId="1" xfId="0" applyFont="1" applyBorder="1" applyAlignment="1">
      <alignment horizontal="center" vertical="center"/>
    </xf>
    <xf numFmtId="0" fontId="0" fillId="2" borderId="4" xfId="0" applyFill="1" applyBorder="1" applyAlignment="1">
      <alignment horizontal="left" vertical="top" wrapText="1"/>
    </xf>
    <xf numFmtId="0" fontId="7" fillId="0" borderId="4" xfId="0" applyFont="1" applyBorder="1" applyAlignment="1">
      <alignment horizontal="left" vertical="top" wrapText="1"/>
    </xf>
    <xf numFmtId="0" fontId="4" fillId="0" borderId="0" xfId="1" applyNumberFormat="1" applyFont="1" applyFill="1" applyBorder="1" applyAlignment="1" applyProtection="1">
      <alignment horizontal="left" vertical="center" wrapText="1" indent="1"/>
    </xf>
    <xf numFmtId="0" fontId="0" fillId="3" borderId="4" xfId="0" applyFill="1" applyBorder="1" applyAlignment="1">
      <alignment horizontal="left" vertical="top" wrapText="1"/>
    </xf>
    <xf numFmtId="0" fontId="5" fillId="0" borderId="4" xfId="0" applyFont="1" applyBorder="1"/>
    <xf numFmtId="0" fontId="0" fillId="3" borderId="0" xfId="0" applyFill="1" applyAlignment="1">
      <alignment horizontal="left" vertical="top" wrapText="1"/>
    </xf>
    <xf numFmtId="0" fontId="5" fillId="0" borderId="5" xfId="0" applyFont="1" applyBorder="1"/>
    <xf numFmtId="0" fontId="5" fillId="0" borderId="4" xfId="0" applyFont="1" applyFill="1" applyBorder="1"/>
    <xf numFmtId="0" fontId="8" fillId="0" borderId="4" xfId="0" applyFont="1" applyBorder="1"/>
    <xf numFmtId="0" fontId="9" fillId="0" borderId="4" xfId="0" applyFont="1" applyBorder="1"/>
    <xf numFmtId="0" fontId="22" fillId="0" borderId="2" xfId="0" applyFont="1" applyBorder="1" applyAlignment="1">
      <alignment horizontal="left" vertical="top" wrapText="1"/>
    </xf>
    <xf numFmtId="0" fontId="23" fillId="0" borderId="4" xfId="0" applyFont="1" applyBorder="1" applyAlignment="1">
      <alignment horizontal="left" vertical="top" wrapText="1"/>
    </xf>
    <xf numFmtId="0" fontId="19"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6" fillId="7" borderId="4" xfId="0" applyFont="1" applyFill="1" applyBorder="1" applyAlignment="1">
      <alignment horizontal="left" vertical="top" wrapText="1"/>
    </xf>
    <xf numFmtId="0" fontId="0" fillId="7" borderId="0" xfId="0" applyFill="1"/>
    <xf numFmtId="0" fontId="21" fillId="8" borderId="1" xfId="0" applyFont="1" applyFill="1" applyBorder="1" applyAlignment="1">
      <alignment horizontal="left" vertical="top" wrapText="1"/>
    </xf>
    <xf numFmtId="0" fontId="0" fillId="8" borderId="1" xfId="0" applyFill="1" applyBorder="1" applyAlignment="1">
      <alignment horizontal="left" vertical="top" wrapText="1"/>
    </xf>
    <xf numFmtId="0" fontId="21" fillId="9" borderId="1" xfId="0" applyFont="1" applyFill="1" applyBorder="1" applyAlignment="1">
      <alignment horizontal="left" vertical="top" wrapText="1"/>
    </xf>
    <xf numFmtId="0" fontId="0" fillId="9" borderId="1" xfId="0" applyFill="1" applyBorder="1" applyAlignment="1">
      <alignment horizontal="left" vertical="top" wrapText="1"/>
    </xf>
    <xf numFmtId="0" fontId="18" fillId="5" borderId="1" xfId="0" applyFont="1" applyFill="1" applyBorder="1" applyAlignment="1">
      <alignment horizontal="center" vertical="top" wrapText="1"/>
    </xf>
    <xf numFmtId="0" fontId="18" fillId="5" borderId="1" xfId="0" applyFont="1" applyFill="1" applyBorder="1" applyAlignment="1">
      <alignment horizontal="center" vertical="center" wrapText="1"/>
    </xf>
    <xf numFmtId="0" fontId="18" fillId="5" borderId="3" xfId="0" applyFont="1" applyFill="1" applyBorder="1" applyAlignment="1">
      <alignment horizontal="center" vertical="center" textRotation="90" wrapText="1"/>
    </xf>
    <xf numFmtId="0" fontId="20" fillId="5" borderId="6" xfId="0" applyFont="1" applyFill="1" applyBorder="1" applyAlignment="1">
      <alignment horizontal="center" vertical="center" textRotation="90" wrapText="1"/>
    </xf>
    <xf numFmtId="0" fontId="18" fillId="5" borderId="6" xfId="0" applyFont="1" applyFill="1" applyBorder="1" applyAlignment="1">
      <alignment horizontal="center" vertical="center" textRotation="90" wrapText="1"/>
    </xf>
    <xf numFmtId="0" fontId="18" fillId="5" borderId="3" xfId="0" applyFont="1" applyFill="1" applyBorder="1" applyAlignment="1">
      <alignment horizontal="center" vertical="center" wrapText="1"/>
    </xf>
    <xf numFmtId="0" fontId="18" fillId="5" borderId="6" xfId="0" applyFont="1" applyFill="1" applyBorder="1" applyAlignment="1">
      <alignment horizontal="center" vertical="center" wrapText="1"/>
    </xf>
    <xf numFmtId="0" fontId="2" fillId="6" borderId="1" xfId="0" applyFont="1" applyFill="1" applyBorder="1" applyAlignment="1">
      <alignment horizontal="left" vertical="top" wrapText="1"/>
    </xf>
    <xf numFmtId="0" fontId="18" fillId="5" borderId="3" xfId="0" applyFont="1" applyFill="1" applyBorder="1" applyAlignment="1">
      <alignment horizontal="center" vertical="top" textRotation="90" wrapText="1"/>
    </xf>
    <xf numFmtId="0" fontId="18" fillId="5" borderId="6" xfId="0" applyFont="1" applyFill="1" applyBorder="1" applyAlignment="1">
      <alignment horizontal="center" vertical="top" textRotation="90" wrapText="1"/>
    </xf>
  </cellXfs>
  <cellStyles count="2">
    <cellStyle name="Гиперссылка" xfId="1" builtinId="8"/>
    <cellStyle name="Обычный"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Worksheet____1"/>
  <dimension ref="B2:B4"/>
  <sheetViews>
    <sheetView workbookViewId="0">
      <selection activeCell="G3" sqref="G3"/>
    </sheetView>
  </sheetViews>
  <sheetFormatPr defaultColWidth="8.85546875" defaultRowHeight="15"/>
  <cols>
    <col min="5" max="5" width="31.140625" customWidth="1"/>
  </cols>
  <sheetData>
    <row r="2" spans="2:2">
      <c r="B2" s="5" t="s">
        <v>0</v>
      </c>
    </row>
    <row r="3" spans="2:2">
      <c r="B3" s="5" t="s">
        <v>1</v>
      </c>
    </row>
    <row r="4" spans="2:2">
      <c r="B4" s="5"/>
    </row>
  </sheetData>
  <dataValidations count="3">
    <dataValidation type="list" allowBlank="1" showInputMessage="1" showErrorMessage="1" sqref="C4 F2">
      <formula1>$B$2:$B$4</formula1>
    </dataValidation>
    <dataValidation type="list" showInputMessage="1" showErrorMessage="1" sqref="B2:B4 E6 K3">
      <formula1>Result</formula1>
    </dataValidation>
    <dataValidation type="list" allowBlank="1" showInputMessage="1" showErrorMessage="1" sqref="G3">
      <formula1>#REF!</formula1>
    </dataValidation>
  </dataValidations>
  <pageMargins left="0.75" right="0.75" top="1" bottom="1"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Worksheet____5"/>
  <dimension ref="A1:DT61"/>
  <sheetViews>
    <sheetView tabSelected="1" zoomScale="85" zoomScaleNormal="85" zoomScalePageLayoutView="130" workbookViewId="0">
      <pane xSplit="11" ySplit="7" topLeftCell="L17" activePane="bottomRight" state="frozen"/>
      <selection pane="topRight" activeCell="J1" sqref="J1"/>
      <selection pane="bottomLeft" activeCell="A8" sqref="A8"/>
      <selection pane="bottomRight" activeCell="F18" sqref="F18"/>
    </sheetView>
  </sheetViews>
  <sheetFormatPr defaultColWidth="8.85546875" defaultRowHeight="15"/>
  <cols>
    <col min="1" max="1" width="2.85546875" customWidth="1"/>
    <col min="2" max="2" width="3.42578125" customWidth="1"/>
    <col min="3" max="3" width="22.140625" customWidth="1"/>
    <col min="4" max="4" width="39.28515625" customWidth="1"/>
    <col min="5" max="5" width="49.28515625" customWidth="1"/>
    <col min="6" max="6" width="41.140625" customWidth="1"/>
    <col min="7" max="7" width="9.42578125" customWidth="1"/>
    <col min="8" max="8" width="3.7109375" customWidth="1"/>
    <col min="9" max="9" width="5.42578125" customWidth="1"/>
    <col min="10" max="10" width="1.140625" hidden="1" customWidth="1"/>
    <col min="11" max="11" width="2.140625" customWidth="1"/>
    <col min="12" max="12" width="15.85546875" customWidth="1"/>
    <col min="13" max="13" width="2.140625" customWidth="1"/>
    <col min="14" max="14" width="13.28515625" customWidth="1"/>
    <col min="15" max="15" width="2.140625" customWidth="1"/>
    <col min="16" max="16" width="13.42578125" customWidth="1"/>
    <col min="17" max="17" width="2.42578125" customWidth="1"/>
    <col min="18" max="18" width="13.42578125" customWidth="1"/>
    <col min="19" max="19" width="2.42578125" customWidth="1"/>
    <col min="20" max="20" width="13.28515625" customWidth="1"/>
    <col min="21" max="21" width="2.42578125" customWidth="1"/>
  </cols>
  <sheetData>
    <row r="1" spans="1:124">
      <c r="A1" s="12"/>
      <c r="B1" s="8"/>
      <c r="C1" s="8"/>
      <c r="D1" s="8"/>
      <c r="E1" s="8"/>
      <c r="F1" s="8"/>
      <c r="G1" s="8"/>
      <c r="H1" s="8"/>
      <c r="I1" s="8"/>
      <c r="J1" s="13" t="s">
        <v>13</v>
      </c>
      <c r="K1" s="11"/>
      <c r="L1" s="16">
        <f>COUNTIF(L$8:L$42,"failed")</f>
        <v>0</v>
      </c>
      <c r="M1" s="11"/>
      <c r="N1" s="16">
        <f>COUNTIF(N$8:N$54,"failed")</f>
        <v>0</v>
      </c>
      <c r="O1" s="11"/>
      <c r="P1" s="16">
        <f>COUNTIF(P$8:P$54,"failed")</f>
        <v>0</v>
      </c>
      <c r="Q1" s="11"/>
      <c r="R1" s="16">
        <f>COUNTIF(R$8:R$54,"failed")</f>
        <v>0</v>
      </c>
      <c r="S1" s="11"/>
      <c r="T1" s="16">
        <f>COUNTIF(T$8:T$54,"failed")</f>
        <v>0</v>
      </c>
      <c r="U1" s="11"/>
      <c r="V1" s="2"/>
      <c r="W1" s="2"/>
      <c r="X1" s="2"/>
      <c r="Y1" s="2"/>
      <c r="Z1" s="2"/>
    </row>
    <row r="2" spans="1:124">
      <c r="A2" s="12"/>
      <c r="B2" s="8"/>
      <c r="C2" s="8"/>
      <c r="D2" s="8"/>
      <c r="E2" s="8"/>
      <c r="F2" s="8"/>
      <c r="G2" s="8"/>
      <c r="H2" s="8"/>
      <c r="I2" s="8"/>
      <c r="J2" s="13" t="s">
        <v>14</v>
      </c>
      <c r="K2" s="11"/>
      <c r="L2" s="17">
        <f>COUNTIF(L$8:L$42,"passed")</f>
        <v>33</v>
      </c>
      <c r="M2" s="11"/>
      <c r="N2" s="17">
        <f>COUNTIF(N$8:N$42,"passed")</f>
        <v>0</v>
      </c>
      <c r="O2" s="11"/>
      <c r="P2" s="17">
        <f>COUNTIF(P$8:P$42,"passed")</f>
        <v>0</v>
      </c>
      <c r="Q2" s="11"/>
      <c r="R2" s="17">
        <f>COUNTIF(R$8:R$42,"passed")</f>
        <v>0</v>
      </c>
      <c r="S2" s="11"/>
      <c r="T2" s="17">
        <f>COUNTIF(T$8:T$42,"passed")</f>
        <v>0</v>
      </c>
      <c r="U2" s="11"/>
      <c r="V2" s="2"/>
      <c r="W2" s="2"/>
      <c r="X2" s="2"/>
      <c r="Y2" s="2"/>
      <c r="Z2" s="2"/>
    </row>
    <row r="3" spans="1:124">
      <c r="A3" s="12"/>
      <c r="B3" s="8"/>
      <c r="C3" s="8"/>
      <c r="D3" s="8"/>
      <c r="E3" s="8"/>
      <c r="F3" s="8"/>
      <c r="G3" s="8"/>
      <c r="H3" s="8"/>
      <c r="I3" s="8"/>
      <c r="J3" s="18" t="s">
        <v>7</v>
      </c>
      <c r="K3" s="11"/>
      <c r="L3" s="22"/>
      <c r="M3" s="11"/>
      <c r="N3" s="22"/>
      <c r="O3" s="11"/>
      <c r="P3" s="22"/>
      <c r="Q3" s="11"/>
      <c r="R3" s="22"/>
      <c r="S3" s="11"/>
      <c r="T3" s="22"/>
      <c r="U3" s="11"/>
      <c r="V3" s="2"/>
      <c r="W3" s="2"/>
      <c r="X3" s="2"/>
      <c r="Y3" s="2"/>
      <c r="Z3" s="2"/>
    </row>
    <row r="4" spans="1:124">
      <c r="A4" s="12"/>
      <c r="B4" s="8"/>
      <c r="C4" s="8"/>
      <c r="D4" s="8"/>
      <c r="E4" s="8"/>
      <c r="F4" s="8"/>
      <c r="G4" s="8"/>
      <c r="H4" s="8"/>
      <c r="I4" s="8"/>
      <c r="J4" s="18" t="s">
        <v>8</v>
      </c>
      <c r="K4" s="11"/>
      <c r="L4" s="19"/>
      <c r="M4" s="11"/>
      <c r="O4" s="11"/>
      <c r="Q4" s="11"/>
      <c r="S4" s="11"/>
      <c r="U4" s="11"/>
      <c r="V4" s="2"/>
      <c r="W4" s="2"/>
      <c r="X4" s="2"/>
      <c r="Y4" s="2"/>
      <c r="Z4" s="2"/>
    </row>
    <row r="5" spans="1:124" ht="31.5" customHeight="1">
      <c r="A5" s="12"/>
      <c r="B5" s="8"/>
      <c r="C5" s="8"/>
      <c r="D5" s="8"/>
      <c r="E5" s="8"/>
      <c r="F5" s="8"/>
      <c r="G5" s="8"/>
      <c r="H5" s="8"/>
      <c r="I5" s="8"/>
      <c r="J5" s="18" t="s">
        <v>9</v>
      </c>
      <c r="K5" s="11"/>
      <c r="L5" s="19" t="s">
        <v>52</v>
      </c>
      <c r="M5" s="11"/>
      <c r="N5" s="19" t="s">
        <v>4</v>
      </c>
      <c r="O5" s="11"/>
      <c r="P5" s="19" t="s">
        <v>4</v>
      </c>
      <c r="Q5" s="11"/>
      <c r="R5" s="19" t="s">
        <v>6</v>
      </c>
      <c r="S5" s="11"/>
      <c r="T5" s="19" t="s">
        <v>4</v>
      </c>
      <c r="U5" s="11"/>
      <c r="V5" s="2"/>
      <c r="W5" s="2"/>
      <c r="X5" s="2"/>
      <c r="Y5" s="2"/>
      <c r="Z5" s="2"/>
    </row>
    <row r="6" spans="1:124" ht="27" customHeight="1">
      <c r="A6" s="12"/>
      <c r="B6" s="49" t="s">
        <v>2</v>
      </c>
      <c r="C6" s="54" t="s">
        <v>19</v>
      </c>
      <c r="D6" s="50" t="s">
        <v>15</v>
      </c>
      <c r="E6" s="49" t="s">
        <v>20</v>
      </c>
      <c r="F6" s="49"/>
      <c r="G6" s="54" t="s">
        <v>18</v>
      </c>
      <c r="H6" s="51" t="s">
        <v>11</v>
      </c>
      <c r="I6" s="51" t="s">
        <v>12</v>
      </c>
      <c r="J6" s="57"/>
      <c r="K6" s="9"/>
      <c r="L6" s="56" t="s">
        <v>21</v>
      </c>
      <c r="M6" s="11"/>
      <c r="N6" s="56" t="s">
        <v>21</v>
      </c>
      <c r="O6" s="11"/>
      <c r="P6" s="56"/>
      <c r="Q6" s="11"/>
      <c r="R6" s="56"/>
      <c r="S6" s="11"/>
      <c r="T6" s="56"/>
      <c r="U6" s="11"/>
      <c r="V6" s="2"/>
      <c r="W6" s="2"/>
      <c r="X6" s="2"/>
      <c r="Y6" s="2"/>
      <c r="Z6" s="2"/>
    </row>
    <row r="7" spans="1:124" ht="126.95" customHeight="1">
      <c r="A7" s="12"/>
      <c r="B7" s="49"/>
      <c r="C7" s="55"/>
      <c r="D7" s="50"/>
      <c r="E7" s="24" t="s">
        <v>16</v>
      </c>
      <c r="F7" s="24" t="s">
        <v>17</v>
      </c>
      <c r="G7" s="55"/>
      <c r="H7" s="52"/>
      <c r="I7" s="53"/>
      <c r="J7" s="58"/>
      <c r="K7" s="9"/>
      <c r="L7" s="56"/>
      <c r="M7" s="11"/>
      <c r="N7" s="56"/>
      <c r="O7" s="11"/>
      <c r="P7" s="56"/>
      <c r="Q7" s="11"/>
      <c r="R7" s="56"/>
      <c r="S7" s="11"/>
      <c r="T7" s="56"/>
      <c r="U7" s="11"/>
      <c r="V7" s="2"/>
      <c r="W7" s="2"/>
      <c r="X7" s="2"/>
      <c r="Y7" s="2"/>
      <c r="Z7" s="2"/>
    </row>
    <row r="8" spans="1:124" ht="67.5" customHeight="1">
      <c r="A8" s="12"/>
      <c r="B8" s="3">
        <v>1</v>
      </c>
      <c r="C8" s="41" t="s">
        <v>22</v>
      </c>
      <c r="D8" s="3" t="s">
        <v>23</v>
      </c>
      <c r="E8" s="7" t="s">
        <v>28</v>
      </c>
      <c r="F8" s="3" t="s">
        <v>27</v>
      </c>
      <c r="G8" s="20"/>
      <c r="H8" s="20"/>
      <c r="I8" s="21"/>
      <c r="J8" s="20"/>
      <c r="K8" s="10"/>
      <c r="L8" s="6" t="s">
        <v>0</v>
      </c>
      <c r="M8" s="11"/>
      <c r="N8" s="6"/>
      <c r="O8" s="11"/>
      <c r="P8" s="6"/>
      <c r="Q8" s="11"/>
      <c r="R8" s="6"/>
      <c r="S8" s="11"/>
      <c r="T8" s="6"/>
      <c r="U8" s="11"/>
      <c r="V8" s="2"/>
      <c r="W8" s="2"/>
      <c r="X8" s="2"/>
      <c r="Y8" s="2"/>
      <c r="Z8" s="2"/>
    </row>
    <row r="9" spans="1:124" ht="54.75" customHeight="1">
      <c r="A9" s="12"/>
      <c r="B9" s="3">
        <v>2</v>
      </c>
      <c r="C9" s="42"/>
      <c r="D9" s="3" t="s">
        <v>24</v>
      </c>
      <c r="E9" s="7" t="s">
        <v>47</v>
      </c>
      <c r="F9" s="3" t="s">
        <v>29</v>
      </c>
      <c r="G9" s="3"/>
      <c r="H9" s="20"/>
      <c r="I9" s="28"/>
      <c r="J9" s="20"/>
      <c r="K9" s="10"/>
      <c r="L9" s="6" t="s">
        <v>0</v>
      </c>
      <c r="M9" s="11"/>
      <c r="N9" s="6"/>
      <c r="O9" s="11"/>
      <c r="P9" s="6"/>
      <c r="Q9" s="11"/>
      <c r="R9" s="6"/>
      <c r="S9" s="11"/>
      <c r="T9" s="6"/>
      <c r="U9" s="11"/>
      <c r="V9" s="2"/>
      <c r="W9" s="2"/>
      <c r="X9" s="2"/>
      <c r="Y9" s="2"/>
      <c r="Z9" s="2"/>
    </row>
    <row r="10" spans="1:124" ht="69.75" customHeight="1">
      <c r="A10" s="12"/>
      <c r="B10" s="3">
        <v>3</v>
      </c>
      <c r="C10" s="42"/>
      <c r="D10" s="3" t="s">
        <v>25</v>
      </c>
      <c r="E10" s="7" t="s">
        <v>30</v>
      </c>
      <c r="F10" s="3" t="s">
        <v>27</v>
      </c>
      <c r="G10" s="3"/>
      <c r="H10" s="20"/>
      <c r="I10" s="21"/>
      <c r="J10" s="20"/>
      <c r="K10" s="10"/>
      <c r="L10" s="6" t="s">
        <v>0</v>
      </c>
      <c r="M10" s="11"/>
      <c r="N10" s="6"/>
      <c r="O10" s="11"/>
      <c r="P10" s="6"/>
      <c r="Q10" s="11"/>
      <c r="R10" s="6"/>
      <c r="S10" s="11"/>
      <c r="T10" s="6"/>
      <c r="U10" s="11"/>
      <c r="V10" s="2"/>
      <c r="W10" s="2"/>
      <c r="X10" s="2"/>
      <c r="Y10" s="2"/>
      <c r="Z10" s="2"/>
    </row>
    <row r="11" spans="1:124" ht="66" customHeight="1">
      <c r="A11" s="12"/>
      <c r="B11" s="29">
        <v>4</v>
      </c>
      <c r="C11" s="43"/>
      <c r="D11" s="3" t="s">
        <v>31</v>
      </c>
      <c r="E11" s="7" t="s">
        <v>32</v>
      </c>
      <c r="F11" s="3" t="s">
        <v>27</v>
      </c>
      <c r="G11" s="30"/>
      <c r="H11" s="30"/>
      <c r="I11" s="31"/>
      <c r="J11" s="30"/>
      <c r="K11" s="10"/>
      <c r="L11" s="6" t="s">
        <v>0</v>
      </c>
      <c r="M11" s="32"/>
      <c r="N11" s="33"/>
      <c r="O11" s="34"/>
      <c r="P11" s="33"/>
      <c r="Q11" s="34"/>
      <c r="R11" s="33"/>
      <c r="S11" s="34"/>
      <c r="T11" s="33"/>
      <c r="U11" s="34"/>
      <c r="V11" s="33"/>
      <c r="W11" s="34"/>
      <c r="X11" s="33"/>
      <c r="Y11" s="34"/>
      <c r="Z11" s="33"/>
      <c r="AA11" s="34"/>
      <c r="AB11" s="33"/>
      <c r="AC11" s="34"/>
      <c r="AD11" s="33"/>
      <c r="AE11" s="34"/>
      <c r="AF11" s="33"/>
      <c r="AG11" s="34"/>
      <c r="AH11" s="33"/>
      <c r="AI11" s="34"/>
      <c r="AJ11" s="33"/>
      <c r="AK11" s="34"/>
      <c r="AL11" s="33"/>
      <c r="AM11" s="34"/>
      <c r="AN11" s="33"/>
      <c r="AO11" s="34"/>
      <c r="AP11" s="33"/>
      <c r="AQ11" s="34"/>
      <c r="AR11" s="33"/>
      <c r="AS11" s="34"/>
      <c r="AT11" s="33"/>
      <c r="AU11" s="34"/>
      <c r="AV11" s="33"/>
      <c r="AW11" s="34"/>
      <c r="AX11" s="33"/>
      <c r="AY11" s="34"/>
      <c r="AZ11" s="33"/>
      <c r="BA11" s="34"/>
      <c r="BB11" s="33"/>
      <c r="BC11" s="34"/>
      <c r="BD11" s="33"/>
      <c r="BE11" s="34"/>
      <c r="BF11" s="33"/>
      <c r="BG11" s="34"/>
      <c r="BH11" s="33"/>
      <c r="BI11" s="34"/>
      <c r="BJ11" s="33"/>
      <c r="BK11" s="34"/>
      <c r="BL11" s="33"/>
      <c r="BM11" s="34"/>
      <c r="BN11" s="33"/>
      <c r="BO11" s="34"/>
      <c r="BP11" s="33"/>
      <c r="BQ11" s="34"/>
      <c r="BR11" s="33"/>
      <c r="BS11" s="34"/>
      <c r="BT11" s="33"/>
      <c r="BU11" s="34"/>
      <c r="BV11" s="33"/>
      <c r="BW11" s="34"/>
      <c r="BX11" s="33"/>
      <c r="BY11" s="34"/>
      <c r="BZ11" s="35"/>
      <c r="CA11" s="34"/>
      <c r="CB11" s="33"/>
      <c r="CC11" s="34"/>
      <c r="CD11" s="36"/>
      <c r="CE11" s="34"/>
      <c r="CF11" s="33"/>
      <c r="CG11" s="34"/>
      <c r="CH11" s="35"/>
      <c r="CI11" s="34"/>
      <c r="CJ11" s="33"/>
      <c r="CK11" s="34"/>
      <c r="CL11" s="33"/>
      <c r="CM11" s="34"/>
      <c r="CN11" s="33"/>
      <c r="CO11" s="34"/>
      <c r="CP11" s="33"/>
      <c r="CQ11" s="34"/>
      <c r="CR11" s="33"/>
      <c r="CS11" s="34"/>
      <c r="CT11" s="33"/>
      <c r="CU11" s="34"/>
      <c r="CV11" s="33"/>
      <c r="CW11" s="34"/>
      <c r="CX11" s="33"/>
      <c r="CY11" s="32"/>
      <c r="CZ11" s="33"/>
      <c r="DA11" s="32"/>
      <c r="DB11" s="33"/>
      <c r="DC11" s="32"/>
      <c r="DD11" s="33"/>
      <c r="DE11" s="32"/>
      <c r="DF11" s="33"/>
      <c r="DG11" s="32"/>
      <c r="DH11" s="33"/>
      <c r="DI11" s="32"/>
      <c r="DJ11" s="33"/>
      <c r="DK11" s="33"/>
      <c r="DL11" s="33"/>
      <c r="DM11" s="33"/>
      <c r="DN11" s="37"/>
      <c r="DO11" s="33"/>
      <c r="DP11" s="38"/>
      <c r="DQ11" s="38"/>
      <c r="DR11" s="38"/>
      <c r="DS11" s="38"/>
      <c r="DT11" s="38"/>
    </row>
    <row r="12" spans="1:124" ht="69" customHeight="1">
      <c r="A12" s="12"/>
      <c r="B12" s="3">
        <v>5</v>
      </c>
      <c r="C12" s="42"/>
      <c r="D12" s="3" t="s">
        <v>33</v>
      </c>
      <c r="E12" s="7" t="s">
        <v>38</v>
      </c>
      <c r="F12" s="3" t="s">
        <v>34</v>
      </c>
      <c r="G12" s="3"/>
      <c r="H12" s="20"/>
      <c r="I12" s="21"/>
      <c r="J12" s="20"/>
      <c r="K12" s="10"/>
      <c r="L12" s="6" t="s">
        <v>0</v>
      </c>
      <c r="M12" s="11"/>
      <c r="N12" s="6"/>
      <c r="O12" s="11"/>
      <c r="P12" s="6"/>
      <c r="Q12" s="11"/>
      <c r="R12" s="6"/>
      <c r="S12" s="11"/>
      <c r="T12" s="6"/>
      <c r="U12" s="11"/>
      <c r="V12" s="2"/>
      <c r="W12" s="2"/>
      <c r="X12" s="2"/>
      <c r="Y12" s="2"/>
      <c r="Z12" s="2"/>
    </row>
    <row r="13" spans="1:124" ht="81" customHeight="1">
      <c r="A13" s="12"/>
      <c r="B13" s="3">
        <v>6</v>
      </c>
      <c r="C13" s="41"/>
      <c r="D13" s="3" t="s">
        <v>35</v>
      </c>
      <c r="E13" s="7" t="s">
        <v>41</v>
      </c>
      <c r="F13" s="3" t="s">
        <v>36</v>
      </c>
      <c r="G13" s="3"/>
      <c r="H13" s="20"/>
      <c r="I13" s="21"/>
      <c r="J13" s="20"/>
      <c r="K13" s="10"/>
      <c r="L13" s="6" t="s">
        <v>0</v>
      </c>
      <c r="M13" s="11"/>
      <c r="N13" s="6"/>
      <c r="O13" s="11"/>
      <c r="P13" s="6"/>
      <c r="Q13" s="11"/>
      <c r="R13" s="6"/>
      <c r="S13" s="11"/>
      <c r="T13" s="6"/>
      <c r="U13" s="11"/>
      <c r="V13" s="2"/>
      <c r="W13" s="2"/>
      <c r="X13" s="2"/>
      <c r="Y13" s="2"/>
      <c r="Z13" s="2"/>
    </row>
    <row r="14" spans="1:124" ht="77.099999999999994" customHeight="1">
      <c r="A14" s="12"/>
      <c r="B14" s="3">
        <v>7</v>
      </c>
      <c r="C14" s="42"/>
      <c r="D14" s="3" t="s">
        <v>26</v>
      </c>
      <c r="E14" s="7" t="s">
        <v>37</v>
      </c>
      <c r="F14" s="3" t="s">
        <v>36</v>
      </c>
      <c r="G14" s="3"/>
      <c r="H14" s="20"/>
      <c r="I14" s="21"/>
      <c r="J14" s="20"/>
      <c r="K14" s="10"/>
      <c r="L14" s="6" t="s">
        <v>0</v>
      </c>
      <c r="M14" s="11"/>
      <c r="N14" s="6"/>
      <c r="O14" s="11"/>
      <c r="P14" s="6"/>
      <c r="Q14" s="11"/>
      <c r="R14" s="6"/>
      <c r="S14" s="11"/>
      <c r="T14" s="6"/>
      <c r="U14" s="11"/>
      <c r="V14" s="2"/>
      <c r="W14" s="2"/>
      <c r="X14" s="2"/>
      <c r="Y14" s="2"/>
      <c r="Z14" s="2"/>
    </row>
    <row r="15" spans="1:124" ht="80.25" customHeight="1">
      <c r="A15" s="12"/>
      <c r="B15" s="3">
        <v>8</v>
      </c>
      <c r="C15" s="42"/>
      <c r="D15" s="3" t="s">
        <v>40</v>
      </c>
      <c r="E15" s="7" t="s">
        <v>42</v>
      </c>
      <c r="F15" s="3" t="s">
        <v>36</v>
      </c>
      <c r="G15" s="3"/>
      <c r="H15" s="20"/>
      <c r="I15" s="21"/>
      <c r="J15" s="20"/>
      <c r="K15" s="10"/>
      <c r="L15" s="6" t="s">
        <v>0</v>
      </c>
      <c r="M15" s="11"/>
      <c r="N15" s="6"/>
      <c r="O15" s="11"/>
      <c r="P15" s="6"/>
      <c r="Q15" s="11"/>
      <c r="R15" s="6"/>
      <c r="S15" s="11"/>
      <c r="T15" s="6"/>
      <c r="U15" s="11"/>
      <c r="V15" s="2"/>
      <c r="W15" s="2"/>
      <c r="X15" s="2"/>
      <c r="Y15" s="2"/>
      <c r="Z15" s="2"/>
    </row>
    <row r="16" spans="1:124" ht="78.75" customHeight="1">
      <c r="A16" s="12"/>
      <c r="B16" s="3">
        <v>9</v>
      </c>
      <c r="C16" s="42"/>
      <c r="D16" s="3" t="s">
        <v>39</v>
      </c>
      <c r="E16" s="7" t="s">
        <v>43</v>
      </c>
      <c r="F16" s="3" t="s">
        <v>36</v>
      </c>
      <c r="G16" s="3"/>
      <c r="H16" s="20"/>
      <c r="I16" s="21"/>
      <c r="J16" s="20"/>
      <c r="K16" s="10"/>
      <c r="L16" s="6" t="s">
        <v>0</v>
      </c>
      <c r="M16" s="11"/>
      <c r="N16" s="6"/>
      <c r="O16" s="11"/>
      <c r="P16" s="6"/>
      <c r="Q16" s="11"/>
      <c r="R16" s="6"/>
      <c r="S16" s="11"/>
      <c r="T16" s="6"/>
      <c r="U16" s="11"/>
      <c r="V16" s="2"/>
      <c r="W16" s="2"/>
      <c r="X16" s="2"/>
      <c r="Y16" s="2"/>
      <c r="Z16" s="2"/>
    </row>
    <row r="17" spans="1:26" ht="215.25" customHeight="1">
      <c r="A17" s="12"/>
      <c r="B17" s="3">
        <v>10</v>
      </c>
      <c r="C17" s="44"/>
      <c r="D17" s="3" t="s">
        <v>44</v>
      </c>
      <c r="E17" s="30" t="s">
        <v>55</v>
      </c>
      <c r="F17" s="40" t="s">
        <v>27</v>
      </c>
      <c r="G17" s="3" t="s">
        <v>50</v>
      </c>
      <c r="H17" s="20"/>
      <c r="I17" s="21"/>
      <c r="J17" s="20"/>
      <c r="K17" s="10"/>
      <c r="L17" s="6" t="s">
        <v>0</v>
      </c>
      <c r="M17" s="11"/>
      <c r="N17" s="6"/>
      <c r="O17" s="11"/>
      <c r="P17" s="6"/>
      <c r="Q17" s="11"/>
      <c r="R17" s="6"/>
      <c r="S17" s="11"/>
      <c r="T17" s="6"/>
      <c r="U17" s="11"/>
      <c r="V17" s="2"/>
      <c r="W17" s="2"/>
      <c r="X17" s="2"/>
      <c r="Y17" s="2"/>
      <c r="Z17" s="2"/>
    </row>
    <row r="18" spans="1:26" ht="213.75" customHeight="1">
      <c r="A18" s="12"/>
      <c r="B18" s="3">
        <v>11</v>
      </c>
      <c r="C18" s="42"/>
      <c r="D18" s="3" t="s">
        <v>45</v>
      </c>
      <c r="E18" s="39" t="s">
        <v>46</v>
      </c>
      <c r="F18" s="3" t="s">
        <v>27</v>
      </c>
      <c r="G18" s="3"/>
      <c r="H18" s="20"/>
      <c r="I18" s="21"/>
      <c r="J18" s="20"/>
      <c r="K18" s="10"/>
      <c r="L18" s="6" t="s">
        <v>0</v>
      </c>
      <c r="M18" s="11"/>
      <c r="N18" s="6"/>
      <c r="O18" s="11"/>
      <c r="P18" s="6"/>
      <c r="Q18" s="11"/>
      <c r="R18" s="6"/>
      <c r="S18" s="11"/>
      <c r="T18" s="6"/>
      <c r="U18" s="11"/>
      <c r="V18" s="2"/>
      <c r="W18" s="2"/>
      <c r="X18" s="2"/>
      <c r="Y18" s="2"/>
      <c r="Z18" s="2"/>
    </row>
    <row r="19" spans="1:26" ht="103.5" customHeight="1">
      <c r="A19" s="12"/>
      <c r="B19" s="3">
        <v>12</v>
      </c>
      <c r="C19" s="42"/>
      <c r="D19" s="3" t="s">
        <v>48</v>
      </c>
      <c r="E19" s="7" t="s">
        <v>49</v>
      </c>
      <c r="F19" s="3" t="s">
        <v>51</v>
      </c>
      <c r="G19" s="3" t="s">
        <v>66</v>
      </c>
      <c r="H19" s="20"/>
      <c r="I19" s="21"/>
      <c r="J19" s="20"/>
      <c r="K19" s="10"/>
      <c r="L19" s="6" t="s">
        <v>0</v>
      </c>
      <c r="M19" s="11"/>
      <c r="N19" s="6"/>
      <c r="O19" s="11"/>
      <c r="P19" s="6"/>
      <c r="Q19" s="11"/>
      <c r="R19" s="6"/>
      <c r="S19" s="11"/>
      <c r="T19" s="6"/>
      <c r="U19" s="11"/>
      <c r="V19" s="2"/>
      <c r="W19" s="2"/>
      <c r="X19" s="2"/>
      <c r="Y19" s="2"/>
      <c r="Z19" s="2"/>
    </row>
    <row r="20" spans="1:26" ht="174" customHeight="1">
      <c r="A20" s="12"/>
      <c r="B20" s="3">
        <v>1</v>
      </c>
      <c r="C20" s="45" t="s">
        <v>53</v>
      </c>
      <c r="D20" s="3" t="s">
        <v>54</v>
      </c>
      <c r="E20" s="7" t="s">
        <v>76</v>
      </c>
      <c r="F20" s="3" t="s">
        <v>56</v>
      </c>
      <c r="G20" s="3"/>
      <c r="H20" s="20"/>
      <c r="I20" s="21"/>
      <c r="J20" s="20"/>
      <c r="K20" s="10"/>
      <c r="L20" s="6" t="s">
        <v>0</v>
      </c>
      <c r="M20" s="11"/>
      <c r="N20" s="6"/>
      <c r="O20" s="11"/>
      <c r="P20" s="6"/>
      <c r="Q20" s="11"/>
      <c r="R20" s="6"/>
      <c r="S20" s="11"/>
      <c r="T20" s="6"/>
      <c r="U20" s="11"/>
      <c r="V20" s="2"/>
      <c r="W20" s="2"/>
      <c r="X20" s="2"/>
      <c r="Y20" s="2"/>
      <c r="Z20" s="2"/>
    </row>
    <row r="21" spans="1:26" ht="186.75" customHeight="1">
      <c r="A21" s="12"/>
      <c r="B21" s="3">
        <v>2</v>
      </c>
      <c r="C21" s="46"/>
      <c r="D21" s="3" t="s">
        <v>57</v>
      </c>
      <c r="E21" s="7" t="s">
        <v>100</v>
      </c>
      <c r="F21" s="3" t="s">
        <v>68</v>
      </c>
      <c r="G21" s="3"/>
      <c r="H21" s="20"/>
      <c r="I21" s="21"/>
      <c r="J21" s="20"/>
      <c r="K21" s="10"/>
      <c r="L21" s="6" t="s">
        <v>0</v>
      </c>
      <c r="M21" s="11"/>
      <c r="N21" s="6"/>
      <c r="O21" s="11"/>
      <c r="P21" s="6"/>
      <c r="Q21" s="11"/>
      <c r="R21" s="6"/>
      <c r="S21" s="11"/>
      <c r="T21" s="6"/>
      <c r="U21" s="11"/>
      <c r="V21" s="2"/>
      <c r="W21" s="2"/>
      <c r="X21" s="2"/>
      <c r="Y21" s="2"/>
      <c r="Z21" s="2"/>
    </row>
    <row r="22" spans="1:26" ht="168" customHeight="1">
      <c r="A22" s="12"/>
      <c r="B22" s="3">
        <v>3</v>
      </c>
      <c r="C22" s="46"/>
      <c r="D22" s="3" t="s">
        <v>58</v>
      </c>
      <c r="E22" s="7" t="s">
        <v>101</v>
      </c>
      <c r="F22" s="3" t="s">
        <v>69</v>
      </c>
      <c r="G22" s="3"/>
      <c r="H22" s="20"/>
      <c r="I22" s="21"/>
      <c r="J22" s="20"/>
      <c r="K22" s="10"/>
      <c r="L22" s="6" t="s">
        <v>0</v>
      </c>
      <c r="M22" s="11"/>
      <c r="N22" s="6"/>
      <c r="O22" s="11"/>
      <c r="P22" s="6"/>
      <c r="Q22" s="11"/>
      <c r="R22" s="6"/>
      <c r="S22" s="11"/>
      <c r="T22" s="6"/>
      <c r="U22" s="11"/>
      <c r="V22" s="2"/>
      <c r="W22" s="2"/>
      <c r="X22" s="2"/>
      <c r="Y22" s="2"/>
      <c r="Z22" s="2"/>
    </row>
    <row r="23" spans="1:26" ht="153.75" customHeight="1">
      <c r="A23" s="12"/>
      <c r="B23" s="3">
        <v>4</v>
      </c>
      <c r="C23" s="46"/>
      <c r="D23" s="3" t="s">
        <v>59</v>
      </c>
      <c r="E23" s="7" t="s">
        <v>60</v>
      </c>
      <c r="F23" s="3" t="s">
        <v>61</v>
      </c>
      <c r="G23" s="3"/>
      <c r="H23" s="20"/>
      <c r="I23" s="21"/>
      <c r="J23" s="20"/>
      <c r="K23" s="10"/>
      <c r="L23" s="6" t="s">
        <v>0</v>
      </c>
      <c r="M23" s="11"/>
      <c r="N23" s="6"/>
      <c r="O23" s="11"/>
      <c r="P23" s="6"/>
      <c r="Q23" s="11"/>
      <c r="R23" s="6"/>
      <c r="S23" s="11"/>
      <c r="T23" s="6"/>
      <c r="U23" s="11"/>
      <c r="V23" s="2"/>
      <c r="W23" s="2"/>
      <c r="X23" s="2"/>
      <c r="Y23" s="2"/>
      <c r="Z23" s="2"/>
    </row>
    <row r="24" spans="1:26" ht="225">
      <c r="A24" s="12"/>
      <c r="B24" s="3">
        <v>5</v>
      </c>
      <c r="C24" s="46"/>
      <c r="D24" s="3" t="s">
        <v>62</v>
      </c>
      <c r="E24" s="7" t="s">
        <v>77</v>
      </c>
      <c r="F24" s="3" t="s">
        <v>70</v>
      </c>
      <c r="G24" s="3"/>
      <c r="H24" s="20"/>
      <c r="I24" s="21"/>
      <c r="J24" s="20"/>
      <c r="K24" s="10"/>
      <c r="L24" s="6" t="s">
        <v>0</v>
      </c>
      <c r="M24" s="11"/>
      <c r="N24" s="6"/>
      <c r="O24" s="11"/>
      <c r="P24" s="6"/>
      <c r="Q24" s="11"/>
      <c r="R24" s="6"/>
      <c r="S24" s="11"/>
      <c r="T24" s="6"/>
      <c r="U24" s="11"/>
      <c r="V24" s="2"/>
      <c r="W24" s="2"/>
      <c r="X24" s="2"/>
      <c r="Y24" s="2"/>
      <c r="Z24" s="2"/>
    </row>
    <row r="25" spans="1:26" ht="210">
      <c r="A25" s="12"/>
      <c r="B25" s="3">
        <v>6</v>
      </c>
      <c r="C25" s="46"/>
      <c r="D25" s="3" t="s">
        <v>64</v>
      </c>
      <c r="E25" s="7" t="s">
        <v>65</v>
      </c>
      <c r="F25" s="3" t="s">
        <v>63</v>
      </c>
      <c r="G25" s="3"/>
      <c r="H25" s="20"/>
      <c r="I25" s="21"/>
      <c r="J25" s="20"/>
      <c r="K25" s="10"/>
      <c r="L25" s="6"/>
      <c r="M25" s="11"/>
      <c r="N25" s="6"/>
      <c r="O25" s="11"/>
      <c r="P25" s="6"/>
      <c r="Q25" s="11"/>
      <c r="R25" s="6"/>
      <c r="S25" s="11"/>
      <c r="T25" s="6"/>
      <c r="U25" s="11"/>
      <c r="V25" s="2"/>
      <c r="W25" s="2"/>
      <c r="X25" s="2"/>
      <c r="Y25" s="2"/>
      <c r="Z25" s="2"/>
    </row>
    <row r="26" spans="1:26" ht="210">
      <c r="A26" s="12"/>
      <c r="B26" s="3">
        <v>7</v>
      </c>
      <c r="C26" s="46"/>
      <c r="D26" s="4" t="s">
        <v>71</v>
      </c>
      <c r="E26" s="7" t="s">
        <v>67</v>
      </c>
      <c r="F26" s="3" t="s">
        <v>63</v>
      </c>
      <c r="G26" s="3"/>
      <c r="H26" s="20"/>
      <c r="I26" s="21"/>
      <c r="J26" s="20"/>
      <c r="K26" s="10"/>
      <c r="L26" s="6" t="s">
        <v>0</v>
      </c>
      <c r="M26" s="11"/>
      <c r="N26" s="6"/>
      <c r="O26" s="11"/>
      <c r="P26" s="6"/>
      <c r="Q26" s="11"/>
      <c r="R26" s="6"/>
      <c r="S26" s="11"/>
      <c r="T26" s="6"/>
      <c r="U26" s="11"/>
      <c r="V26" s="2"/>
      <c r="W26" s="2"/>
      <c r="X26" s="2"/>
      <c r="Y26" s="2"/>
      <c r="Z26" s="2"/>
    </row>
    <row r="27" spans="1:26" ht="180">
      <c r="A27" s="12"/>
      <c r="B27" s="3">
        <v>8</v>
      </c>
      <c r="C27" s="46"/>
      <c r="D27" s="4" t="s">
        <v>72</v>
      </c>
      <c r="E27" s="7" t="s">
        <v>78</v>
      </c>
      <c r="F27" s="3" t="s">
        <v>63</v>
      </c>
      <c r="G27" s="3"/>
      <c r="H27" s="20"/>
      <c r="I27" s="21"/>
      <c r="J27" s="20"/>
      <c r="K27" s="10"/>
      <c r="L27" s="6" t="s">
        <v>0</v>
      </c>
      <c r="M27" s="11"/>
      <c r="N27" s="6"/>
      <c r="O27" s="11"/>
      <c r="P27" s="6"/>
      <c r="Q27" s="11"/>
      <c r="R27" s="6"/>
      <c r="S27" s="11"/>
      <c r="T27" s="6"/>
      <c r="U27" s="11"/>
      <c r="V27" s="2"/>
      <c r="W27" s="2"/>
      <c r="X27" s="2"/>
      <c r="Y27" s="2"/>
      <c r="Z27" s="2"/>
    </row>
    <row r="28" spans="1:26" ht="225">
      <c r="A28" s="12"/>
      <c r="B28" s="3">
        <v>9</v>
      </c>
      <c r="C28" s="46"/>
      <c r="D28" s="3" t="s">
        <v>73</v>
      </c>
      <c r="E28" s="7" t="s">
        <v>79</v>
      </c>
      <c r="F28" s="3" t="s">
        <v>63</v>
      </c>
      <c r="G28" s="3"/>
      <c r="H28" s="20"/>
      <c r="I28" s="21"/>
      <c r="J28" s="20"/>
      <c r="K28" s="10"/>
      <c r="L28" s="6" t="s">
        <v>0</v>
      </c>
      <c r="M28" s="11"/>
      <c r="N28" s="6"/>
      <c r="O28" s="11"/>
      <c r="P28" s="6"/>
      <c r="Q28" s="11"/>
      <c r="R28" s="6"/>
      <c r="S28" s="11"/>
      <c r="T28" s="6"/>
      <c r="U28" s="11"/>
      <c r="V28" s="2"/>
      <c r="W28" s="2"/>
      <c r="X28" s="2"/>
      <c r="Y28" s="2"/>
      <c r="Z28" s="2"/>
    </row>
    <row r="29" spans="1:26" ht="165">
      <c r="A29" s="12"/>
      <c r="B29" s="3">
        <v>10</v>
      </c>
      <c r="C29" s="46"/>
      <c r="D29" s="3" t="s">
        <v>74</v>
      </c>
      <c r="E29" s="7" t="s">
        <v>80</v>
      </c>
      <c r="F29" s="3" t="s">
        <v>63</v>
      </c>
      <c r="G29" s="3"/>
      <c r="H29" s="20"/>
      <c r="I29" s="21"/>
      <c r="J29" s="20"/>
      <c r="K29" s="10"/>
      <c r="L29" s="6" t="s">
        <v>0</v>
      </c>
      <c r="M29" s="11"/>
      <c r="N29" s="6"/>
      <c r="O29" s="11"/>
      <c r="P29" s="6"/>
      <c r="Q29" s="11"/>
      <c r="R29" s="6"/>
      <c r="S29" s="11"/>
      <c r="T29" s="6"/>
      <c r="U29" s="11"/>
      <c r="V29" s="2"/>
      <c r="W29" s="2"/>
      <c r="X29" s="2"/>
      <c r="Y29" s="2"/>
      <c r="Z29" s="2"/>
    </row>
    <row r="30" spans="1:26" ht="195">
      <c r="A30" s="12"/>
      <c r="B30" s="3">
        <v>11</v>
      </c>
      <c r="C30" s="46"/>
      <c r="D30" s="3" t="s">
        <v>75</v>
      </c>
      <c r="E30" s="7" t="s">
        <v>81</v>
      </c>
      <c r="F30" s="3" t="s">
        <v>63</v>
      </c>
      <c r="G30" s="3"/>
      <c r="H30" s="20"/>
      <c r="I30" s="28"/>
      <c r="J30" s="20"/>
      <c r="K30" s="10"/>
      <c r="L30" s="6" t="s">
        <v>0</v>
      </c>
      <c r="M30" s="11"/>
      <c r="N30" s="6"/>
      <c r="O30" s="11"/>
      <c r="P30" s="6"/>
      <c r="Q30" s="11"/>
      <c r="R30" s="6"/>
      <c r="S30" s="11"/>
      <c r="T30" s="6"/>
      <c r="U30" s="11"/>
      <c r="V30" s="2"/>
      <c r="W30" s="2"/>
      <c r="X30" s="2"/>
      <c r="Y30" s="2"/>
      <c r="Z30" s="2"/>
    </row>
    <row r="31" spans="1:26" ht="120">
      <c r="A31" s="12"/>
      <c r="B31" s="3">
        <v>1</v>
      </c>
      <c r="C31" s="47" t="s">
        <v>82</v>
      </c>
      <c r="D31" s="3" t="s">
        <v>83</v>
      </c>
      <c r="E31" s="7" t="s">
        <v>102</v>
      </c>
      <c r="F31" s="3" t="s">
        <v>84</v>
      </c>
      <c r="G31" s="3"/>
      <c r="H31" s="20"/>
      <c r="I31" s="21"/>
      <c r="J31" s="20"/>
      <c r="K31" s="10"/>
      <c r="L31" s="6" t="s">
        <v>0</v>
      </c>
      <c r="M31" s="11"/>
      <c r="N31" s="6"/>
      <c r="O31" s="11"/>
      <c r="P31" s="6"/>
      <c r="Q31" s="11"/>
      <c r="R31" s="6"/>
      <c r="S31" s="11"/>
      <c r="T31" s="6"/>
      <c r="U31" s="11"/>
      <c r="V31" s="2"/>
      <c r="W31" s="2"/>
      <c r="X31" s="2"/>
      <c r="Y31" s="2"/>
      <c r="Z31" s="2"/>
    </row>
    <row r="32" spans="1:26" ht="120">
      <c r="A32" s="12"/>
      <c r="B32" s="3">
        <v>2</v>
      </c>
      <c r="C32" s="48"/>
      <c r="D32" s="3" t="s">
        <v>85</v>
      </c>
      <c r="E32" s="7" t="s">
        <v>103</v>
      </c>
      <c r="F32" s="3" t="s">
        <v>105</v>
      </c>
      <c r="G32" s="3"/>
      <c r="H32" s="20"/>
      <c r="I32" s="21"/>
      <c r="J32" s="20"/>
      <c r="K32" s="10"/>
      <c r="L32" s="6" t="s">
        <v>0</v>
      </c>
      <c r="M32" s="11"/>
      <c r="N32" s="6"/>
      <c r="O32" s="11"/>
      <c r="P32" s="6"/>
      <c r="Q32" s="11"/>
      <c r="R32" s="6"/>
      <c r="S32" s="11"/>
      <c r="T32" s="6"/>
      <c r="U32" s="11"/>
      <c r="V32" s="2"/>
      <c r="W32" s="2"/>
      <c r="X32" s="2"/>
      <c r="Y32" s="2"/>
      <c r="Z32" s="2"/>
    </row>
    <row r="33" spans="1:26" ht="105">
      <c r="A33" s="12"/>
      <c r="B33" s="3">
        <v>3</v>
      </c>
      <c r="C33" s="48"/>
      <c r="D33" s="3" t="s">
        <v>87</v>
      </c>
      <c r="E33" s="7" t="s">
        <v>86</v>
      </c>
      <c r="F33" s="3" t="s">
        <v>88</v>
      </c>
      <c r="G33" s="3"/>
      <c r="H33" s="20"/>
      <c r="I33" s="21"/>
      <c r="J33" s="20"/>
      <c r="K33" s="10"/>
      <c r="L33" s="6" t="s">
        <v>0</v>
      </c>
      <c r="M33" s="11"/>
      <c r="N33" s="6"/>
      <c r="O33" s="11"/>
      <c r="P33" s="6"/>
      <c r="Q33" s="11"/>
      <c r="R33" s="6"/>
      <c r="S33" s="11"/>
      <c r="T33" s="6"/>
      <c r="U33" s="11"/>
      <c r="V33" s="2"/>
      <c r="W33" s="2"/>
      <c r="X33" s="2"/>
      <c r="Y33" s="2"/>
      <c r="Z33" s="2"/>
    </row>
    <row r="34" spans="1:26" ht="129.75" customHeight="1">
      <c r="A34" s="12"/>
      <c r="B34" s="3">
        <v>4</v>
      </c>
      <c r="C34" s="48"/>
      <c r="D34" s="3" t="s">
        <v>89</v>
      </c>
      <c r="E34" s="7" t="s">
        <v>92</v>
      </c>
      <c r="F34" s="3" t="s">
        <v>94</v>
      </c>
      <c r="G34" s="3"/>
      <c r="H34" s="20"/>
      <c r="I34" s="21"/>
      <c r="J34" s="20"/>
      <c r="K34" s="10"/>
      <c r="L34" s="6" t="s">
        <v>0</v>
      </c>
      <c r="M34" s="11"/>
      <c r="N34" s="6"/>
      <c r="O34" s="11"/>
      <c r="P34" s="6"/>
      <c r="Q34" s="11"/>
      <c r="R34" s="6"/>
      <c r="S34" s="11"/>
      <c r="T34" s="6"/>
      <c r="U34" s="11"/>
      <c r="V34" s="2"/>
      <c r="W34" s="2"/>
      <c r="X34" s="2"/>
      <c r="Y34" s="2"/>
      <c r="Z34" s="2"/>
    </row>
    <row r="35" spans="1:26" ht="135">
      <c r="A35" s="12"/>
      <c r="B35" s="3">
        <v>5</v>
      </c>
      <c r="C35" s="48"/>
      <c r="D35" s="3" t="s">
        <v>90</v>
      </c>
      <c r="E35" s="7" t="s">
        <v>93</v>
      </c>
      <c r="F35" s="3" t="s">
        <v>95</v>
      </c>
      <c r="G35" s="3"/>
      <c r="H35" s="20"/>
      <c r="I35" s="21"/>
      <c r="J35" s="20"/>
      <c r="K35" s="10"/>
      <c r="L35" s="6" t="s">
        <v>0</v>
      </c>
      <c r="M35" s="11"/>
      <c r="N35" s="6"/>
      <c r="O35" s="11"/>
      <c r="P35" s="6"/>
      <c r="Q35" s="11"/>
      <c r="R35" s="6"/>
      <c r="S35" s="11"/>
      <c r="T35" s="6"/>
      <c r="U35" s="11"/>
      <c r="V35" s="2"/>
      <c r="W35" s="2"/>
      <c r="X35" s="2"/>
      <c r="Y35" s="2"/>
      <c r="Z35" s="2"/>
    </row>
    <row r="36" spans="1:26" ht="120">
      <c r="A36" s="12"/>
      <c r="B36" s="3">
        <v>6</v>
      </c>
      <c r="C36" s="48"/>
      <c r="D36" s="3" t="s">
        <v>91</v>
      </c>
      <c r="E36" s="7" t="s">
        <v>97</v>
      </c>
      <c r="F36" s="3" t="s">
        <v>96</v>
      </c>
      <c r="G36" s="3"/>
      <c r="H36" s="20"/>
      <c r="I36" s="21"/>
      <c r="J36" s="20"/>
      <c r="K36" s="10"/>
      <c r="L36" s="6" t="s">
        <v>0</v>
      </c>
      <c r="M36" s="11"/>
      <c r="N36" s="6"/>
      <c r="O36" s="11"/>
      <c r="P36" s="6"/>
      <c r="Q36" s="11"/>
      <c r="R36" s="6"/>
      <c r="S36" s="11"/>
      <c r="T36" s="6"/>
      <c r="U36" s="11"/>
      <c r="V36" s="2"/>
      <c r="W36" s="2"/>
      <c r="X36" s="2"/>
      <c r="Y36" s="2"/>
      <c r="Z36" s="2"/>
    </row>
    <row r="37" spans="1:26" ht="105">
      <c r="A37" s="12"/>
      <c r="B37" s="3">
        <v>7</v>
      </c>
      <c r="C37" s="48"/>
      <c r="D37" s="3" t="s">
        <v>106</v>
      </c>
      <c r="E37" s="7" t="s">
        <v>108</v>
      </c>
      <c r="F37" s="3" t="s">
        <v>98</v>
      </c>
      <c r="G37" s="3"/>
      <c r="H37" s="20"/>
      <c r="I37" s="21"/>
      <c r="J37" s="20"/>
      <c r="K37" s="10"/>
      <c r="L37" s="6" t="s">
        <v>0</v>
      </c>
      <c r="M37" s="11"/>
      <c r="N37" s="6"/>
      <c r="O37" s="11"/>
      <c r="P37" s="6"/>
      <c r="Q37" s="11"/>
      <c r="R37" s="6"/>
      <c r="S37" s="11"/>
      <c r="T37" s="6"/>
      <c r="U37" s="11"/>
      <c r="V37" s="2"/>
      <c r="W37" s="2"/>
      <c r="X37" s="2"/>
      <c r="Y37" s="2"/>
      <c r="Z37" s="2"/>
    </row>
    <row r="38" spans="1:26" ht="105">
      <c r="A38" s="12"/>
      <c r="B38" s="3">
        <v>8</v>
      </c>
      <c r="C38" s="48"/>
      <c r="D38" s="3" t="s">
        <v>99</v>
      </c>
      <c r="E38" s="7" t="s">
        <v>104</v>
      </c>
      <c r="F38" s="3" t="s">
        <v>105</v>
      </c>
      <c r="G38" s="3"/>
      <c r="H38" s="20"/>
      <c r="I38" s="21"/>
      <c r="J38" s="20"/>
      <c r="K38" s="10"/>
      <c r="L38" s="6" t="s">
        <v>0</v>
      </c>
      <c r="M38" s="11"/>
      <c r="N38" s="6"/>
      <c r="O38" s="11"/>
      <c r="P38" s="6"/>
      <c r="Q38" s="11"/>
      <c r="R38" s="6"/>
      <c r="S38" s="11"/>
      <c r="T38" s="6"/>
      <c r="U38" s="11"/>
      <c r="V38" s="2"/>
      <c r="W38" s="2"/>
      <c r="X38" s="2"/>
      <c r="Y38" s="2"/>
      <c r="Z38" s="2"/>
    </row>
    <row r="39" spans="1:26" ht="105">
      <c r="A39" s="12"/>
      <c r="B39" s="3">
        <v>9</v>
      </c>
      <c r="C39" s="48"/>
      <c r="D39" s="3" t="s">
        <v>107</v>
      </c>
      <c r="E39" s="3" t="s">
        <v>109</v>
      </c>
      <c r="F39" s="3" t="s">
        <v>110</v>
      </c>
      <c r="G39" s="3"/>
      <c r="H39" s="20"/>
      <c r="I39" s="21"/>
      <c r="J39" s="20"/>
      <c r="K39" s="10"/>
      <c r="L39" s="6" t="s">
        <v>0</v>
      </c>
      <c r="M39" s="11"/>
      <c r="N39" s="6"/>
      <c r="O39" s="11"/>
      <c r="P39" s="6"/>
      <c r="Q39" s="11"/>
      <c r="R39" s="6"/>
      <c r="S39" s="11"/>
      <c r="T39" s="6"/>
      <c r="U39" s="11"/>
      <c r="V39" s="2"/>
      <c r="W39" s="2"/>
      <c r="X39" s="2"/>
      <c r="Y39" s="2"/>
      <c r="Z39" s="2"/>
    </row>
    <row r="40" spans="1:26" ht="105">
      <c r="A40" s="12"/>
      <c r="B40" s="3">
        <v>10</v>
      </c>
      <c r="C40" s="48"/>
      <c r="D40" s="3" t="s">
        <v>111</v>
      </c>
      <c r="E40" s="3" t="s">
        <v>112</v>
      </c>
      <c r="F40" s="3" t="s">
        <v>105</v>
      </c>
      <c r="G40" s="3"/>
      <c r="H40" s="20"/>
      <c r="I40" s="21"/>
      <c r="J40" s="20"/>
      <c r="K40" s="10"/>
      <c r="L40" s="6" t="s">
        <v>0</v>
      </c>
      <c r="M40" s="11"/>
      <c r="N40" s="6"/>
      <c r="O40" s="11"/>
      <c r="P40" s="6"/>
      <c r="Q40" s="11"/>
      <c r="R40" s="6"/>
      <c r="S40" s="11"/>
      <c r="T40" s="6"/>
      <c r="U40" s="11"/>
      <c r="V40" s="2"/>
      <c r="W40" s="2"/>
      <c r="X40" s="2"/>
      <c r="Y40" s="2"/>
      <c r="Z40" s="2"/>
    </row>
    <row r="41" spans="1:26" ht="90">
      <c r="A41" s="12"/>
      <c r="B41" s="3">
        <v>11</v>
      </c>
      <c r="C41" s="48"/>
      <c r="D41" s="3" t="s">
        <v>113</v>
      </c>
      <c r="E41" s="3" t="s">
        <v>114</v>
      </c>
      <c r="F41" s="3" t="s">
        <v>115</v>
      </c>
      <c r="G41" s="3"/>
      <c r="H41" s="20"/>
      <c r="I41" s="20"/>
      <c r="J41" s="20"/>
      <c r="K41" s="10"/>
      <c r="L41" s="6" t="s">
        <v>0</v>
      </c>
      <c r="M41" s="11"/>
      <c r="N41" s="6"/>
      <c r="O41" s="11"/>
      <c r="P41" s="6"/>
      <c r="Q41" s="11"/>
      <c r="R41" s="6"/>
      <c r="S41" s="11"/>
      <c r="T41" s="6"/>
      <c r="U41" s="11"/>
      <c r="V41" s="2"/>
      <c r="W41" s="2"/>
      <c r="X41" s="2"/>
      <c r="Y41" s="2"/>
      <c r="Z41" s="2"/>
    </row>
    <row r="42" spans="1:26">
      <c r="A42" s="12"/>
      <c r="B42" s="14"/>
      <c r="C42" s="14"/>
      <c r="D42" s="14"/>
      <c r="E42" s="14"/>
      <c r="F42" s="14"/>
      <c r="G42" s="14"/>
      <c r="H42" s="26"/>
      <c r="I42" s="14"/>
      <c r="J42" s="26"/>
      <c r="K42" s="15"/>
      <c r="L42" s="6"/>
      <c r="M42" s="11"/>
      <c r="N42" s="6"/>
      <c r="O42" s="11"/>
      <c r="P42" s="6"/>
      <c r="Q42" s="11"/>
      <c r="R42" s="6"/>
      <c r="S42" s="11"/>
      <c r="T42" s="6"/>
      <c r="U42" s="11"/>
      <c r="V42" s="2"/>
      <c r="W42" s="2"/>
      <c r="X42" s="2"/>
      <c r="Y42" s="2"/>
      <c r="Z42" s="2"/>
    </row>
    <row r="43" spans="1:26">
      <c r="A43" s="25"/>
      <c r="B43" s="23"/>
      <c r="C43" s="23"/>
      <c r="D43" s="23" t="s">
        <v>3</v>
      </c>
      <c r="E43" s="23">
        <f>COUNT(I8:I42)</f>
        <v>0</v>
      </c>
      <c r="F43" s="23"/>
      <c r="G43" s="23"/>
      <c r="H43" s="23"/>
      <c r="I43" s="23"/>
      <c r="J43" s="23"/>
      <c r="K43" s="23"/>
      <c r="L43" s="23"/>
      <c r="M43" s="23"/>
      <c r="N43" s="23"/>
      <c r="O43" s="23"/>
      <c r="P43" s="23"/>
      <c r="Q43" s="23"/>
      <c r="R43" s="23"/>
      <c r="S43" s="23"/>
      <c r="T43" s="23"/>
      <c r="U43" s="23"/>
      <c r="V43" s="27"/>
      <c r="W43" s="27"/>
      <c r="X43" s="2"/>
      <c r="Y43" s="2"/>
      <c r="Z43" s="2"/>
    </row>
    <row r="44" spans="1:26">
      <c r="A44" s="25"/>
      <c r="B44" s="23"/>
      <c r="C44" s="23"/>
      <c r="D44" s="23" t="s">
        <v>10</v>
      </c>
      <c r="E44" s="23">
        <f>COUNTA(D8:D42)</f>
        <v>34</v>
      </c>
      <c r="F44" s="23"/>
      <c r="G44" s="23"/>
      <c r="H44" s="23"/>
      <c r="I44" s="23"/>
      <c r="J44" s="23"/>
      <c r="K44" s="23"/>
      <c r="L44" s="23"/>
      <c r="M44" s="23"/>
      <c r="N44" s="23"/>
      <c r="O44" s="23"/>
      <c r="P44" s="23"/>
      <c r="Q44" s="23"/>
      <c r="R44" s="23"/>
      <c r="S44" s="23"/>
      <c r="T44" s="23"/>
      <c r="U44" s="23"/>
      <c r="V44" s="27"/>
      <c r="W44" s="27"/>
      <c r="X44" s="2"/>
      <c r="Y44" s="2"/>
      <c r="Z44" s="2"/>
    </row>
    <row r="45" spans="1:26">
      <c r="A45" s="25"/>
      <c r="B45" s="23"/>
      <c r="C45" s="23"/>
      <c r="D45" s="23" t="s">
        <v>5</v>
      </c>
      <c r="E45" s="23">
        <f>COUNT(J8:J42)</f>
        <v>0</v>
      </c>
      <c r="F45" s="23"/>
      <c r="G45" s="23"/>
      <c r="H45" s="23"/>
      <c r="I45" s="23"/>
      <c r="J45" s="23"/>
      <c r="K45" s="23"/>
      <c r="L45" s="23"/>
      <c r="M45" s="23"/>
      <c r="N45" s="23"/>
      <c r="O45" s="23"/>
      <c r="P45" s="23"/>
      <c r="Q45" s="23"/>
      <c r="R45" s="23"/>
      <c r="S45" s="23"/>
      <c r="T45" s="23"/>
      <c r="U45" s="23"/>
      <c r="V45" s="27"/>
      <c r="W45" s="27"/>
      <c r="X45" s="2"/>
      <c r="Y45" s="2"/>
      <c r="Z45" s="2"/>
    </row>
    <row r="46" spans="1:26">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1"/>
      <c r="U58" s="2"/>
      <c r="V58" s="2"/>
      <c r="W58" s="2"/>
      <c r="X58" s="2"/>
      <c r="Y58" s="2"/>
      <c r="Z58" s="2"/>
    </row>
    <row r="59" spans="1:26">
      <c r="A59" s="1"/>
      <c r="U59" s="2"/>
      <c r="V59" s="2"/>
      <c r="W59" s="2"/>
      <c r="X59" s="2"/>
      <c r="Y59" s="2"/>
      <c r="Z59" s="2"/>
    </row>
    <row r="60" spans="1:26">
      <c r="Z60" s="2"/>
    </row>
    <row r="61" spans="1:26">
      <c r="Z61" s="2"/>
    </row>
  </sheetData>
  <mergeCells count="13">
    <mergeCell ref="T6:T7"/>
    <mergeCell ref="J6:J7"/>
    <mergeCell ref="G6:G7"/>
    <mergeCell ref="R6:R7"/>
    <mergeCell ref="L6:L7"/>
    <mergeCell ref="N6:N7"/>
    <mergeCell ref="P6:P7"/>
    <mergeCell ref="B6:B7"/>
    <mergeCell ref="D6:D7"/>
    <mergeCell ref="E6:F6"/>
    <mergeCell ref="H6:H7"/>
    <mergeCell ref="I6:I7"/>
    <mergeCell ref="C6:C7"/>
  </mergeCells>
  <dataValidations count="2">
    <dataValidation type="list" showInputMessage="1" showErrorMessage="1" sqref="T8:T10 P8:P10 R8:R10 N8:N10 L8:L42 N12:N42 T12:T42 P12:P42 R12:R42">
      <formula1>Result</formula1>
    </dataValidation>
    <dataValidation type="list" showErrorMessage="1" sqref="AT11 AH11 AF11 Z11 X11 V11 T11 R11 P11 N11 CJ11 CB11 DJ11:DT11 DH11 DF11 DD11 DB11 CZ11 CX11 CV11 CT11 CR11 CP11 CN11 CL11 CH11 CF11 BZ11 BX11 BV11 BT11 BR11 BP11 BN11 BL11 BJ11 BH11 BF11 BD11 BB11 AZ11 AX11 AV11 AR11 AP11 AN11 AL11 AJ11 AD11 AB11">
      <formula1>Result</formula1>
      <formula2>0</formula2>
    </dataValidation>
  </dataValidations>
  <pageMargins left="0.75" right="0.75" top="1" bottom="1"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Sheet1</vt:lpstr>
      <vt:lpstr>Template</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Haptanova, Irina</dc:creator>
  <cp:lastModifiedBy>User</cp:lastModifiedBy>
  <dcterms:created xsi:type="dcterms:W3CDTF">2014-07-02T12:38:51Z</dcterms:created>
  <dcterms:modified xsi:type="dcterms:W3CDTF">2020-06-08T10:24:29Z</dcterms:modified>
</cp:coreProperties>
</file>